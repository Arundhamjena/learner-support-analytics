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B1C39650-D66B-48BE-9CC0-F9D31341D05A}" xr6:coauthVersionLast="47" xr6:coauthVersionMax="47" xr10:uidLastSave="{00000000-0000-0000-0000-000000000000}"/>
  <bookViews>
    <workbookView xWindow="-108" yWindow="-108" windowWidth="23256" windowHeight="12456" xr2:uid="{00000000-000D-0000-FFFF-FFFF00000000}"/>
  </bookViews>
  <sheets>
    <sheet name="Sheet1" sheetId="1" r:id="rId1"/>
    <sheet name="Cleaned Data" sheetId="2" r:id="rId2"/>
    <sheet name="Audit Summary" sheetId="3" r:id="rId3"/>
    <sheet name="Validation Rules" sheetId="4" r:id="rId4"/>
    <sheet name="Strategic Analysis (Task 2A)" sheetId="6" r:id="rId5"/>
    <sheet name="Trend Analysis (Task 2B)" sheetId="9" r:id="rId6"/>
    <sheet name="Monitoring Framewor(3A,3C)" sheetId="10" r:id="rId7"/>
    <sheet name="KPI Dashboard(3B)" sheetId="11" r:id="rId8"/>
    <sheet name="Dashboard" sheetId="12" r:id="rId9"/>
    <sheet name="Pivot Charts" sheetId="14" r:id="rId10"/>
    <sheet name="SQL Queries" sheetId="13" r:id="rId11"/>
  </sheets>
  <externalReferences>
    <externalReference r:id="rId12"/>
  </externalReferences>
  <definedNames>
    <definedName name="_xlcn.WorksheetConnection_AssignmentData_NPSTracker_2025.xlsxNPS_Data1" hidden="1">NPS_Data[]</definedName>
    <definedName name="Slicer_Program_Name">#N/A</definedName>
  </definedNames>
  <calcPr calcId="191029"/>
  <pivotCaches>
    <pivotCache cacheId="0" r:id="rId13"/>
    <pivotCache cacheId="116" r:id="rId14"/>
    <pivotCache cacheId="119" r:id="rId15"/>
    <pivotCache cacheId="122" r:id="rId16"/>
    <pivotCache cacheId="125" r:id="rId17"/>
    <pivotCache cacheId="128" r:id="rId18"/>
    <pivotCache cacheId="131" r:id="rId19"/>
    <pivotCache cacheId="152" r:id="rId20"/>
    <pivotCache cacheId="255" r:id="rId21"/>
  </pivotCaches>
  <extLst>
    <ext xmlns:x14="http://schemas.microsoft.com/office/spreadsheetml/2009/9/main" uri="{876F7934-8845-4945-9796-88D515C7AA90}">
      <x14:pivotCaches>
        <pivotCache cacheId="153" r:id="rId22"/>
      </x14:pivotCaches>
    </ex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NPS_Data" name="NPS_Data" connection="WorksheetConnection_Assignment Data_ NPS Tracker_2025.xlsx!NP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 i="2"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H5" i="11" l="1"/>
  <c r="A5" i="12" s="1"/>
  <c r="B38" i="12"/>
  <c r="H10" i="11" a="1"/>
  <c r="H10" i="11" s="1"/>
  <c r="P1" i="11"/>
  <c r="P2" i="11"/>
  <c r="H9" i="11"/>
  <c r="H5" i="12" s="1"/>
  <c r="B33" i="6"/>
  <c r="C33" i="6"/>
  <c r="F67" i="6"/>
  <c r="F81" i="6"/>
  <c r="F70" i="6"/>
  <c r="F80" i="6"/>
  <c r="F68" i="6"/>
  <c r="F69" i="6"/>
  <c r="F71" i="6"/>
  <c r="F72" i="6"/>
  <c r="F73" i="6"/>
  <c r="F74" i="6"/>
  <c r="F75" i="6"/>
  <c r="F76" i="6"/>
  <c r="F77" i="6"/>
  <c r="F78" i="6"/>
  <c r="F79" i="6"/>
  <c r="H2" i="2"/>
  <c r="H226" i="2"/>
  <c r="H225" i="2"/>
  <c r="H224" i="2"/>
  <c r="H223" i="2"/>
  <c r="H222" i="2"/>
  <c r="H221" i="2"/>
  <c r="H220" i="2"/>
  <c r="H219" i="2"/>
  <c r="H218" i="2"/>
  <c r="H217" i="2"/>
  <c r="H216" i="2"/>
  <c r="H215" i="2"/>
  <c r="H214" i="2"/>
  <c r="H213" i="2"/>
  <c r="H212" i="2"/>
  <c r="H211" i="2"/>
  <c r="H210" i="2"/>
  <c r="H209" i="2"/>
  <c r="H208" i="2"/>
  <c r="H207" i="2"/>
  <c r="H206" i="2"/>
  <c r="H205" i="2"/>
  <c r="H204" i="2"/>
  <c r="H203" i="2"/>
  <c r="H202" i="2"/>
  <c r="H201" i="2"/>
  <c r="H200" i="2"/>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D225" i="2"/>
  <c r="T225" i="2" s="1"/>
  <c r="D2" i="2"/>
  <c r="T2" i="2" s="1"/>
  <c r="D3" i="2"/>
  <c r="T3" i="2" s="1"/>
  <c r="D4" i="2"/>
  <c r="T4" i="2" s="1"/>
  <c r="D5" i="2"/>
  <c r="T5" i="2" s="1"/>
  <c r="D6" i="2"/>
  <c r="T6" i="2" s="1"/>
  <c r="D7" i="2"/>
  <c r="T7" i="2" s="1"/>
  <c r="D8" i="2"/>
  <c r="T8" i="2" s="1"/>
  <c r="D9" i="2"/>
  <c r="T9" i="2" s="1"/>
  <c r="D10" i="2"/>
  <c r="T10" i="2" s="1"/>
  <c r="D11" i="2"/>
  <c r="T11" i="2" s="1"/>
  <c r="D12" i="2"/>
  <c r="T12" i="2" s="1"/>
  <c r="D13" i="2"/>
  <c r="T13" i="2" s="1"/>
  <c r="D14" i="2"/>
  <c r="T14" i="2" s="1"/>
  <c r="D15" i="2"/>
  <c r="T15" i="2" s="1"/>
  <c r="D16" i="2"/>
  <c r="T16" i="2" s="1"/>
  <c r="D17" i="2"/>
  <c r="T17" i="2" s="1"/>
  <c r="D18" i="2"/>
  <c r="T18" i="2" s="1"/>
  <c r="D19" i="2"/>
  <c r="T19" i="2" s="1"/>
  <c r="D20" i="2"/>
  <c r="T20" i="2" s="1"/>
  <c r="D21" i="2"/>
  <c r="T21" i="2" s="1"/>
  <c r="D22" i="2"/>
  <c r="T22" i="2" s="1"/>
  <c r="D23" i="2"/>
  <c r="T23" i="2" s="1"/>
  <c r="D24" i="2"/>
  <c r="T24" i="2" s="1"/>
  <c r="D25" i="2"/>
  <c r="T25" i="2" s="1"/>
  <c r="D26" i="2"/>
  <c r="T26" i="2" s="1"/>
  <c r="D27" i="2"/>
  <c r="T27" i="2" s="1"/>
  <c r="D28" i="2"/>
  <c r="T28" i="2" s="1"/>
  <c r="D29" i="2"/>
  <c r="T29" i="2" s="1"/>
  <c r="D30" i="2"/>
  <c r="T30" i="2" s="1"/>
  <c r="D31" i="2"/>
  <c r="T31" i="2" s="1"/>
  <c r="D32" i="2"/>
  <c r="T32" i="2" s="1"/>
  <c r="D33" i="2"/>
  <c r="T33" i="2" s="1"/>
  <c r="D34" i="2"/>
  <c r="T34" i="2" s="1"/>
  <c r="D35" i="2"/>
  <c r="T35" i="2" s="1"/>
  <c r="D36" i="2"/>
  <c r="T36" i="2" s="1"/>
  <c r="D37" i="2"/>
  <c r="T37" i="2" s="1"/>
  <c r="D38" i="2"/>
  <c r="T38" i="2" s="1"/>
  <c r="D39" i="2"/>
  <c r="T39" i="2" s="1"/>
  <c r="D40" i="2"/>
  <c r="T40" i="2" s="1"/>
  <c r="D41" i="2"/>
  <c r="T41" i="2" s="1"/>
  <c r="D42" i="2"/>
  <c r="T42" i="2" s="1"/>
  <c r="D43" i="2"/>
  <c r="T43" i="2" s="1"/>
  <c r="D44" i="2"/>
  <c r="T44" i="2" s="1"/>
  <c r="D45" i="2"/>
  <c r="T45" i="2" s="1"/>
  <c r="D46" i="2"/>
  <c r="T46" i="2" s="1"/>
  <c r="D47" i="2"/>
  <c r="T47" i="2" s="1"/>
  <c r="D48" i="2"/>
  <c r="T48" i="2" s="1"/>
  <c r="D49" i="2"/>
  <c r="T49" i="2" s="1"/>
  <c r="D50" i="2"/>
  <c r="T50" i="2" s="1"/>
  <c r="D51" i="2"/>
  <c r="T51" i="2" s="1"/>
  <c r="D52" i="2"/>
  <c r="T52" i="2" s="1"/>
  <c r="D53" i="2"/>
  <c r="T53" i="2" s="1"/>
  <c r="D54" i="2"/>
  <c r="T54" i="2" s="1"/>
  <c r="D55" i="2"/>
  <c r="T55" i="2" s="1"/>
  <c r="D56" i="2"/>
  <c r="T56" i="2" s="1"/>
  <c r="D57" i="2"/>
  <c r="T57" i="2" s="1"/>
  <c r="D58" i="2"/>
  <c r="T58" i="2" s="1"/>
  <c r="D59" i="2"/>
  <c r="T59" i="2" s="1"/>
  <c r="D60" i="2"/>
  <c r="T60" i="2" s="1"/>
  <c r="D61" i="2"/>
  <c r="T61" i="2" s="1"/>
  <c r="D62" i="2"/>
  <c r="T62" i="2" s="1"/>
  <c r="D63" i="2"/>
  <c r="T63" i="2" s="1"/>
  <c r="D64" i="2"/>
  <c r="T64" i="2" s="1"/>
  <c r="D65" i="2"/>
  <c r="T65" i="2" s="1"/>
  <c r="D66" i="2"/>
  <c r="T66" i="2" s="1"/>
  <c r="D67" i="2"/>
  <c r="T67" i="2" s="1"/>
  <c r="D68" i="2"/>
  <c r="T68" i="2" s="1"/>
  <c r="D69" i="2"/>
  <c r="T69" i="2" s="1"/>
  <c r="D70" i="2"/>
  <c r="T70" i="2" s="1"/>
  <c r="D71" i="2"/>
  <c r="T71" i="2" s="1"/>
  <c r="D72" i="2"/>
  <c r="T72" i="2" s="1"/>
  <c r="D73" i="2"/>
  <c r="T73" i="2" s="1"/>
  <c r="D74" i="2"/>
  <c r="T74" i="2" s="1"/>
  <c r="D75" i="2"/>
  <c r="T75" i="2" s="1"/>
  <c r="D76" i="2"/>
  <c r="T76" i="2" s="1"/>
  <c r="D77" i="2"/>
  <c r="T77" i="2" s="1"/>
  <c r="D78" i="2"/>
  <c r="T78" i="2" s="1"/>
  <c r="D79" i="2"/>
  <c r="T79" i="2" s="1"/>
  <c r="D80" i="2"/>
  <c r="T80" i="2" s="1"/>
  <c r="D81" i="2"/>
  <c r="T81" i="2" s="1"/>
  <c r="D82" i="2"/>
  <c r="T82" i="2" s="1"/>
  <c r="D83" i="2"/>
  <c r="T83" i="2" s="1"/>
  <c r="D84" i="2"/>
  <c r="T84" i="2" s="1"/>
  <c r="D85" i="2"/>
  <c r="T85" i="2" s="1"/>
  <c r="D86" i="2"/>
  <c r="T86" i="2" s="1"/>
  <c r="D87" i="2"/>
  <c r="T87" i="2" s="1"/>
  <c r="D88" i="2"/>
  <c r="T88" i="2" s="1"/>
  <c r="D89" i="2"/>
  <c r="T89" i="2" s="1"/>
  <c r="D90" i="2"/>
  <c r="T90" i="2" s="1"/>
  <c r="D91" i="2"/>
  <c r="T91" i="2" s="1"/>
  <c r="D92" i="2"/>
  <c r="T92" i="2" s="1"/>
  <c r="D93" i="2"/>
  <c r="T93" i="2" s="1"/>
  <c r="D94" i="2"/>
  <c r="T94" i="2" s="1"/>
  <c r="D95" i="2"/>
  <c r="T95" i="2" s="1"/>
  <c r="D96" i="2"/>
  <c r="T96" i="2" s="1"/>
  <c r="D97" i="2"/>
  <c r="T97" i="2" s="1"/>
  <c r="D98" i="2"/>
  <c r="T98" i="2" s="1"/>
  <c r="D99" i="2"/>
  <c r="T99" i="2" s="1"/>
  <c r="D100" i="2"/>
  <c r="T100" i="2" s="1"/>
  <c r="D101" i="2"/>
  <c r="T101" i="2" s="1"/>
  <c r="D102" i="2"/>
  <c r="T102" i="2" s="1"/>
  <c r="D103" i="2"/>
  <c r="T103" i="2" s="1"/>
  <c r="D104" i="2"/>
  <c r="T104" i="2" s="1"/>
  <c r="D105" i="2"/>
  <c r="T105" i="2" s="1"/>
  <c r="D106" i="2"/>
  <c r="T106" i="2" s="1"/>
  <c r="D107" i="2"/>
  <c r="T107" i="2" s="1"/>
  <c r="D108" i="2"/>
  <c r="T108" i="2" s="1"/>
  <c r="D109" i="2"/>
  <c r="T109" i="2" s="1"/>
  <c r="D110" i="2"/>
  <c r="T110" i="2" s="1"/>
  <c r="D111" i="2"/>
  <c r="T111" i="2" s="1"/>
  <c r="D112" i="2"/>
  <c r="T112" i="2" s="1"/>
  <c r="D113" i="2"/>
  <c r="T113" i="2" s="1"/>
  <c r="D114" i="2"/>
  <c r="T114" i="2" s="1"/>
  <c r="D115" i="2"/>
  <c r="T115" i="2" s="1"/>
  <c r="D116" i="2"/>
  <c r="T116" i="2" s="1"/>
  <c r="D117" i="2"/>
  <c r="T117" i="2" s="1"/>
  <c r="D118" i="2"/>
  <c r="T118" i="2" s="1"/>
  <c r="D119" i="2"/>
  <c r="T119" i="2" s="1"/>
  <c r="D120" i="2"/>
  <c r="T120" i="2" s="1"/>
  <c r="D121" i="2"/>
  <c r="T121" i="2" s="1"/>
  <c r="D122" i="2"/>
  <c r="T122" i="2" s="1"/>
  <c r="D123" i="2"/>
  <c r="T123" i="2" s="1"/>
  <c r="D124" i="2"/>
  <c r="T124" i="2" s="1"/>
  <c r="D125" i="2"/>
  <c r="T125" i="2" s="1"/>
  <c r="D126" i="2"/>
  <c r="T126" i="2" s="1"/>
  <c r="D127" i="2"/>
  <c r="T127" i="2" s="1"/>
  <c r="D128" i="2"/>
  <c r="T128" i="2" s="1"/>
  <c r="D129" i="2"/>
  <c r="T129" i="2" s="1"/>
  <c r="D130" i="2"/>
  <c r="T130" i="2" s="1"/>
  <c r="D131" i="2"/>
  <c r="T131" i="2" s="1"/>
  <c r="D132" i="2"/>
  <c r="T132" i="2" s="1"/>
  <c r="D133" i="2"/>
  <c r="T133" i="2" s="1"/>
  <c r="D134" i="2"/>
  <c r="T134" i="2" s="1"/>
  <c r="D135" i="2"/>
  <c r="T135" i="2" s="1"/>
  <c r="D136" i="2"/>
  <c r="T136" i="2" s="1"/>
  <c r="D137" i="2"/>
  <c r="T137" i="2" s="1"/>
  <c r="D138" i="2"/>
  <c r="T138" i="2" s="1"/>
  <c r="D139" i="2"/>
  <c r="T139" i="2" s="1"/>
  <c r="D140" i="2"/>
  <c r="T140" i="2" s="1"/>
  <c r="D141" i="2"/>
  <c r="T141" i="2" s="1"/>
  <c r="D142" i="2"/>
  <c r="T142" i="2" s="1"/>
  <c r="D143" i="2"/>
  <c r="T143" i="2" s="1"/>
  <c r="D144" i="2"/>
  <c r="T144" i="2" s="1"/>
  <c r="D145" i="2"/>
  <c r="T145" i="2" s="1"/>
  <c r="D146" i="2"/>
  <c r="T146" i="2" s="1"/>
  <c r="D147" i="2"/>
  <c r="T147" i="2" s="1"/>
  <c r="D148" i="2"/>
  <c r="T148" i="2" s="1"/>
  <c r="D149" i="2"/>
  <c r="T149" i="2" s="1"/>
  <c r="D150" i="2"/>
  <c r="T150" i="2" s="1"/>
  <c r="D151" i="2"/>
  <c r="T151" i="2" s="1"/>
  <c r="D152" i="2"/>
  <c r="T152" i="2" s="1"/>
  <c r="D153" i="2"/>
  <c r="T153" i="2" s="1"/>
  <c r="D154" i="2"/>
  <c r="T154" i="2" s="1"/>
  <c r="D155" i="2"/>
  <c r="T155" i="2" s="1"/>
  <c r="D156" i="2"/>
  <c r="T156" i="2" s="1"/>
  <c r="D157" i="2"/>
  <c r="T157" i="2" s="1"/>
  <c r="D158" i="2"/>
  <c r="T158" i="2" s="1"/>
  <c r="D159" i="2"/>
  <c r="T159" i="2" s="1"/>
  <c r="D160" i="2"/>
  <c r="T160" i="2" s="1"/>
  <c r="D161" i="2"/>
  <c r="T161" i="2" s="1"/>
  <c r="D162" i="2"/>
  <c r="T162" i="2" s="1"/>
  <c r="D163" i="2"/>
  <c r="T163" i="2" s="1"/>
  <c r="D164" i="2"/>
  <c r="T164" i="2" s="1"/>
  <c r="D165" i="2"/>
  <c r="T165" i="2" s="1"/>
  <c r="D166" i="2"/>
  <c r="T166" i="2" s="1"/>
  <c r="D167" i="2"/>
  <c r="T167" i="2" s="1"/>
  <c r="D168" i="2"/>
  <c r="T168" i="2" s="1"/>
  <c r="D169" i="2"/>
  <c r="T169" i="2" s="1"/>
  <c r="D170" i="2"/>
  <c r="T170" i="2" s="1"/>
  <c r="D171" i="2"/>
  <c r="T171" i="2" s="1"/>
  <c r="D172" i="2"/>
  <c r="T172" i="2" s="1"/>
  <c r="D173" i="2"/>
  <c r="T173" i="2" s="1"/>
  <c r="D174" i="2"/>
  <c r="T174" i="2" s="1"/>
  <c r="D175" i="2"/>
  <c r="T175" i="2" s="1"/>
  <c r="D176" i="2"/>
  <c r="T176" i="2" s="1"/>
  <c r="D177" i="2"/>
  <c r="T177" i="2" s="1"/>
  <c r="D178" i="2"/>
  <c r="T178" i="2" s="1"/>
  <c r="D179" i="2"/>
  <c r="T179" i="2" s="1"/>
  <c r="D180" i="2"/>
  <c r="T180" i="2" s="1"/>
  <c r="D181" i="2"/>
  <c r="T181" i="2" s="1"/>
  <c r="D182" i="2"/>
  <c r="T182" i="2" s="1"/>
  <c r="D183" i="2"/>
  <c r="T183" i="2" s="1"/>
  <c r="D184" i="2"/>
  <c r="T184" i="2" s="1"/>
  <c r="D185" i="2"/>
  <c r="T185" i="2" s="1"/>
  <c r="D186" i="2"/>
  <c r="T186" i="2" s="1"/>
  <c r="D187" i="2"/>
  <c r="T187" i="2" s="1"/>
  <c r="D188" i="2"/>
  <c r="T188" i="2" s="1"/>
  <c r="D189" i="2"/>
  <c r="T189" i="2" s="1"/>
  <c r="D190" i="2"/>
  <c r="T190" i="2" s="1"/>
  <c r="D191" i="2"/>
  <c r="T191" i="2" s="1"/>
  <c r="D192" i="2"/>
  <c r="T192" i="2" s="1"/>
  <c r="D193" i="2"/>
  <c r="T193" i="2" s="1"/>
  <c r="D194" i="2"/>
  <c r="T194" i="2" s="1"/>
  <c r="D195" i="2"/>
  <c r="T195" i="2" s="1"/>
  <c r="D196" i="2"/>
  <c r="T196" i="2" s="1"/>
  <c r="D197" i="2"/>
  <c r="T197" i="2" s="1"/>
  <c r="D198" i="2"/>
  <c r="T198" i="2" s="1"/>
  <c r="D199" i="2"/>
  <c r="T199" i="2" s="1"/>
  <c r="D200" i="2"/>
  <c r="T200" i="2" s="1"/>
  <c r="D201" i="2"/>
  <c r="T201" i="2" s="1"/>
  <c r="D202" i="2"/>
  <c r="T202" i="2" s="1"/>
  <c r="D203" i="2"/>
  <c r="T203" i="2" s="1"/>
  <c r="D204" i="2"/>
  <c r="T204" i="2" s="1"/>
  <c r="D205" i="2"/>
  <c r="T205" i="2" s="1"/>
  <c r="D206" i="2"/>
  <c r="T206" i="2" s="1"/>
  <c r="D207" i="2"/>
  <c r="T207" i="2" s="1"/>
  <c r="D208" i="2"/>
  <c r="T208" i="2" s="1"/>
  <c r="D209" i="2"/>
  <c r="T209" i="2" s="1"/>
  <c r="D210" i="2"/>
  <c r="T210" i="2" s="1"/>
  <c r="D211" i="2"/>
  <c r="T211" i="2" s="1"/>
  <c r="D212" i="2"/>
  <c r="T212" i="2" s="1"/>
  <c r="D213" i="2"/>
  <c r="T213" i="2" s="1"/>
  <c r="D214" i="2"/>
  <c r="T214" i="2" s="1"/>
  <c r="D215" i="2"/>
  <c r="T215" i="2" s="1"/>
  <c r="D216" i="2"/>
  <c r="T216" i="2" s="1"/>
  <c r="D217" i="2"/>
  <c r="T217" i="2" s="1"/>
  <c r="D218" i="2"/>
  <c r="T218" i="2" s="1"/>
  <c r="D219" i="2"/>
  <c r="T219" i="2" s="1"/>
  <c r="D220" i="2"/>
  <c r="T220" i="2" s="1"/>
  <c r="D221" i="2"/>
  <c r="T221" i="2" s="1"/>
  <c r="D222" i="2"/>
  <c r="T222" i="2" s="1"/>
  <c r="D223" i="2"/>
  <c r="T223" i="2" s="1"/>
  <c r="D224" i="2"/>
  <c r="T224" i="2" s="1"/>
  <c r="D226" i="2"/>
  <c r="T226" i="2" s="1"/>
  <c r="X38" i="2" a="1"/>
  <c r="X171" i="2" a="1"/>
  <c r="X131" i="2" a="1"/>
  <c r="X68" i="2" a="1"/>
  <c r="X23" i="2" a="1"/>
  <c r="X209" i="2" a="1"/>
  <c r="X70" i="2" a="1"/>
  <c r="X24" i="2" a="1"/>
  <c r="X110" i="2" a="1"/>
  <c r="X175" i="2" a="1"/>
  <c r="X212" i="2" a="1"/>
  <c r="X151" i="2" a="1"/>
  <c r="X222" i="2" a="1"/>
  <c r="X28" i="2" a="1"/>
  <c r="X96" i="2" a="1"/>
  <c r="X36" i="2" a="1"/>
  <c r="X15" i="2" a="1"/>
  <c r="X213" i="2" a="1"/>
  <c r="X59" i="2" a="1"/>
  <c r="X125" i="2" a="1"/>
  <c r="X183" i="2" a="1"/>
  <c r="X30" i="2" a="1"/>
  <c r="X199" i="2" a="1"/>
  <c r="X137" i="2" a="1"/>
  <c r="X155" i="2" a="1"/>
  <c r="X61" i="2" a="1"/>
  <c r="X45" i="2" a="1"/>
  <c r="X94" i="2" a="1"/>
  <c r="X226" i="2" a="1"/>
  <c r="X188" i="2" a="1"/>
  <c r="X122" i="2" a="1"/>
  <c r="X176" i="2" a="1"/>
  <c r="X21" i="2" a="1"/>
  <c r="X180" i="2" a="1"/>
  <c r="X71" i="2" a="1"/>
  <c r="X225" i="2" a="1"/>
  <c r="X172" i="2" a="1"/>
  <c r="X98" i="2" a="1"/>
  <c r="X91" i="2" a="1"/>
  <c r="X57" i="2" a="1"/>
  <c r="X144" i="2" a="1"/>
  <c r="X97" i="2" a="1"/>
  <c r="X146" i="2" a="1"/>
  <c r="X165" i="2" a="1"/>
  <c r="X18" i="2" a="1"/>
  <c r="X80" i="2" a="1"/>
  <c r="X210" i="2" a="1"/>
  <c r="X31" i="2" a="1"/>
  <c r="X135" i="2" a="1"/>
  <c r="X191" i="2" a="1"/>
  <c r="X89" i="2" a="1"/>
  <c r="X170" i="2" a="1"/>
  <c r="X202" i="2" a="1"/>
  <c r="X20" i="2" a="1"/>
  <c r="X114" i="2" a="1"/>
  <c r="X56" i="2" a="1"/>
  <c r="X76" i="2" a="1"/>
  <c r="X145" i="2" a="1"/>
  <c r="X169" i="2" a="1"/>
  <c r="X4" i="2" a="1"/>
  <c r="X85" i="2" a="1"/>
  <c r="X179" i="2" a="1"/>
  <c r="X196" i="2" a="1"/>
  <c r="X43" i="2" a="1"/>
  <c r="X99" i="2" a="1"/>
  <c r="X75" i="2" a="1"/>
  <c r="X211" i="2" a="1"/>
  <c r="X5" i="2" a="1"/>
  <c r="X159" i="2" a="1"/>
  <c r="X14" i="2" a="1"/>
  <c r="X140" i="2" a="1"/>
  <c r="X162" i="2" a="1"/>
  <c r="X119" i="2" a="1"/>
  <c r="X51" i="2" a="1"/>
  <c r="X79" i="2" a="1"/>
  <c r="X203" i="2" a="1"/>
  <c r="X182" i="2" a="1"/>
  <c r="X32" i="2" a="1"/>
  <c r="X164" i="2" a="1"/>
  <c r="X190" i="2" a="1"/>
  <c r="X88" i="2" a="1"/>
  <c r="X78" i="2" a="1"/>
  <c r="X74" i="2" a="1"/>
  <c r="X13" i="2" a="1"/>
  <c r="X105" i="2" a="1"/>
  <c r="X33" i="2" a="1"/>
  <c r="X6" i="2" a="1"/>
  <c r="X157" i="2" a="1"/>
  <c r="X223" i="2" a="1"/>
  <c r="X17" i="2" a="1"/>
  <c r="X52" i="2" a="1"/>
  <c r="X26" i="2" a="1"/>
  <c r="X153" i="2" a="1"/>
  <c r="X16" i="2" a="1"/>
  <c r="X198" i="2" a="1"/>
  <c r="X120" i="2" a="1"/>
  <c r="X115" i="2" a="1"/>
  <c r="X39" i="2" a="1"/>
  <c r="X63" i="2" a="1"/>
  <c r="X46" i="2" a="1"/>
  <c r="X181" i="2" a="1"/>
  <c r="X149" i="2" a="1"/>
  <c r="X118" i="2" a="1"/>
  <c r="X128" i="2" a="1"/>
  <c r="X54" i="2" a="1"/>
  <c r="X132" i="2" a="1"/>
  <c r="X104" i="2" a="1"/>
  <c r="X207" i="2" a="1"/>
  <c r="X218" i="2" a="1"/>
  <c r="X161" i="2" a="1"/>
  <c r="X174" i="2" a="1"/>
  <c r="X143" i="2" a="1"/>
  <c r="X64" i="2" a="1"/>
  <c r="X154" i="2" a="1"/>
  <c r="X220" i="2" a="1"/>
  <c r="X156" i="2" a="1"/>
  <c r="X34" i="2" a="1"/>
  <c r="X2" i="2" a="1"/>
  <c r="X9" i="2" a="1"/>
  <c r="X87" i="2" a="1"/>
  <c r="X216" i="2" a="1"/>
  <c r="X221" i="2" a="1"/>
  <c r="X173" i="2" a="1"/>
  <c r="X58" i="2" a="1"/>
  <c r="X192" i="2" a="1"/>
  <c r="X127" i="2" a="1"/>
  <c r="X90" i="2" a="1"/>
  <c r="X7" i="2" a="1"/>
  <c r="X111" i="2" a="1"/>
  <c r="X177" i="2" a="1"/>
  <c r="X12" i="2" a="1"/>
  <c r="X124" i="2" a="1"/>
  <c r="X166" i="2" a="1"/>
  <c r="X215" i="2" a="1"/>
  <c r="X178" i="2" a="1"/>
  <c r="X11" i="2" a="1"/>
  <c r="X194" i="2" a="1"/>
  <c r="X186" i="2" a="1"/>
  <c r="X219" i="2" a="1"/>
  <c r="X53" i="2" a="1"/>
  <c r="X95" i="2" a="1"/>
  <c r="X214" i="2" a="1"/>
  <c r="X113" i="2" a="1"/>
  <c r="X84" i="2" a="1"/>
  <c r="X134" i="2" a="1"/>
  <c r="X208" i="2" a="1"/>
  <c r="X65" i="2" a="1"/>
  <c r="X35" i="2" a="1"/>
  <c r="X160" i="2" a="1"/>
  <c r="X123" i="2" a="1"/>
  <c r="X107" i="2" a="1"/>
  <c r="X147" i="2" a="1"/>
  <c r="X47" i="2" a="1"/>
  <c r="X116" i="2" a="1"/>
  <c r="X167" i="2" a="1"/>
  <c r="X163" i="2" a="1"/>
  <c r="X193" i="2" a="1"/>
  <c r="X130" i="2" a="1"/>
  <c r="X195" i="2" a="1"/>
  <c r="X108" i="2" a="1"/>
  <c r="X224" i="2" a="1"/>
  <c r="X49" i="2" a="1"/>
  <c r="X81" i="2" a="1"/>
  <c r="X48" i="2" a="1"/>
  <c r="X204" i="2" a="1"/>
  <c r="X10" i="2" a="1"/>
  <c r="X142" i="2" a="1"/>
  <c r="X41" i="2" a="1"/>
  <c r="X44" i="2" a="1"/>
  <c r="X136" i="2" a="1"/>
  <c r="X69" i="2" a="1"/>
  <c r="X158" i="2" a="1"/>
  <c r="X27" i="2" a="1"/>
  <c r="X217" i="2" a="1"/>
  <c r="X112" i="2" a="1"/>
  <c r="X22" i="2" a="1"/>
  <c r="X206" i="2" a="1"/>
  <c r="X150" i="2" a="1"/>
  <c r="X83" i="2" a="1"/>
  <c r="X66" i="2" a="1"/>
  <c r="X197" i="2" a="1"/>
  <c r="X82" i="2" a="1"/>
  <c r="X8" i="2" a="1"/>
  <c r="X77" i="2" a="1"/>
  <c r="X72" i="2" a="1"/>
  <c r="X184" i="2" a="1"/>
  <c r="X139" i="2" a="1"/>
  <c r="X129" i="2" a="1"/>
  <c r="X152" i="2" a="1"/>
  <c r="X126" i="2" a="1"/>
  <c r="X106" i="2" a="1"/>
  <c r="X62" i="2" a="1"/>
  <c r="X102" i="2" a="1"/>
  <c r="X40" i="2" a="1"/>
  <c r="X86" i="2" a="1"/>
  <c r="X37" i="2" a="1"/>
  <c r="X117" i="2" a="1"/>
  <c r="X67" i="2" a="1"/>
  <c r="X60" i="2" a="1"/>
  <c r="X92" i="2" a="1"/>
  <c r="X3" i="2" a="1"/>
  <c r="X29" i="2" a="1"/>
  <c r="X109" i="2" a="1"/>
  <c r="X103" i="2" a="1"/>
  <c r="X25" i="2" a="1"/>
  <c r="X121" i="2" a="1"/>
  <c r="X205" i="2" a="1"/>
  <c r="X19" i="2" a="1"/>
  <c r="X168" i="2" a="1"/>
  <c r="X141" i="2" a="1"/>
  <c r="X187" i="2" a="1"/>
  <c r="X201" i="2" a="1"/>
  <c r="X50" i="2" a="1"/>
  <c r="X73" i="2" a="1"/>
  <c r="X55" i="2" a="1"/>
  <c r="X133" i="2" a="1"/>
  <c r="X148" i="2" a="1"/>
  <c r="X101" i="2" a="1"/>
  <c r="X42" i="2" a="1"/>
  <c r="X189" i="2" a="1"/>
  <c r="X138" i="2" a="1"/>
  <c r="X200" i="2" a="1"/>
  <c r="X93" i="2" a="1"/>
  <c r="X185" i="2" a="1"/>
  <c r="X100" i="2" a="1"/>
  <c r="AA216" i="2" l="1"/>
  <c r="AA204" i="2"/>
  <c r="AA192" i="2"/>
  <c r="AA180" i="2"/>
  <c r="AA168" i="2"/>
  <c r="AA156" i="2"/>
  <c r="AA144" i="2"/>
  <c r="AA132" i="2"/>
  <c r="AD132" i="2" s="1"/>
  <c r="AA120" i="2"/>
  <c r="AD120" i="2" s="1"/>
  <c r="AA108" i="2"/>
  <c r="AD108" i="2" s="1"/>
  <c r="AA96" i="2"/>
  <c r="AA84" i="2"/>
  <c r="AA72" i="2"/>
  <c r="AA60" i="2"/>
  <c r="AA48" i="2"/>
  <c r="AA36" i="2"/>
  <c r="AA24" i="2"/>
  <c r="AA12" i="2"/>
  <c r="AE225" i="2"/>
  <c r="AE213" i="2"/>
  <c r="AE201" i="2"/>
  <c r="AE189" i="2"/>
  <c r="AE177" i="2"/>
  <c r="AE165" i="2"/>
  <c r="AE153" i="2"/>
  <c r="AE141" i="2"/>
  <c r="AE129" i="2"/>
  <c r="AE117" i="2"/>
  <c r="AE105" i="2"/>
  <c r="AE93" i="2"/>
  <c r="AE81" i="2"/>
  <c r="AE69" i="2"/>
  <c r="AE57" i="2"/>
  <c r="AE45" i="2"/>
  <c r="AE33" i="2"/>
  <c r="AE21" i="2"/>
  <c r="AE9" i="2"/>
  <c r="AF217" i="2"/>
  <c r="AF205" i="2"/>
  <c r="AF193" i="2"/>
  <c r="AF181" i="2"/>
  <c r="AF169" i="2"/>
  <c r="AF157" i="2"/>
  <c r="AF145" i="2"/>
  <c r="AF133" i="2"/>
  <c r="AF121" i="2"/>
  <c r="AF109" i="2"/>
  <c r="AF97" i="2"/>
  <c r="AF85" i="2"/>
  <c r="AF73" i="2"/>
  <c r="AF61" i="2"/>
  <c r="AF49" i="2"/>
  <c r="AF37" i="2"/>
  <c r="AF25" i="2"/>
  <c r="AF13" i="2"/>
  <c r="AA215" i="2"/>
  <c r="AD215" i="2" s="1"/>
  <c r="AA203" i="2"/>
  <c r="AD203" i="2" s="1"/>
  <c r="AA191" i="2"/>
  <c r="AA179" i="2"/>
  <c r="AD179" i="2" s="1"/>
  <c r="AA167" i="2"/>
  <c r="AD167" i="2" s="1"/>
  <c r="AA155" i="2"/>
  <c r="AA143" i="2"/>
  <c r="AA131" i="2"/>
  <c r="AA119" i="2"/>
  <c r="AA107" i="2"/>
  <c r="AA95" i="2"/>
  <c r="AA83" i="2"/>
  <c r="AD83" i="2" s="1"/>
  <c r="AA71" i="2"/>
  <c r="AD71" i="2" s="1"/>
  <c r="AA59" i="2"/>
  <c r="AD59" i="2" s="1"/>
  <c r="AA47" i="2"/>
  <c r="AD47" i="2" s="1"/>
  <c r="AA35" i="2"/>
  <c r="AA23" i="2"/>
  <c r="AA11" i="2"/>
  <c r="AE224" i="2"/>
  <c r="AE212" i="2"/>
  <c r="AE200" i="2"/>
  <c r="AE188" i="2"/>
  <c r="AE176" i="2"/>
  <c r="AE164" i="2"/>
  <c r="AE152" i="2"/>
  <c r="AE140" i="2"/>
  <c r="AE128" i="2"/>
  <c r="AE116" i="2"/>
  <c r="AE104" i="2"/>
  <c r="AE92" i="2"/>
  <c r="AE80" i="2"/>
  <c r="AE68" i="2"/>
  <c r="AE56" i="2"/>
  <c r="AE44" i="2"/>
  <c r="AE32" i="2"/>
  <c r="AE20" i="2"/>
  <c r="AE8" i="2"/>
  <c r="AB2" i="2"/>
  <c r="AF216" i="2"/>
  <c r="AF204" i="2"/>
  <c r="AF192" i="2"/>
  <c r="AF180" i="2"/>
  <c r="AF168" i="2"/>
  <c r="AF156" i="2"/>
  <c r="AF144" i="2"/>
  <c r="AF132" i="2"/>
  <c r="AF120" i="2"/>
  <c r="AF108" i="2"/>
  <c r="AF96" i="2"/>
  <c r="AF84" i="2"/>
  <c r="AF72" i="2"/>
  <c r="AF60" i="2"/>
  <c r="AF48" i="2"/>
  <c r="AF36" i="2"/>
  <c r="AF24" i="2"/>
  <c r="AF12" i="2"/>
  <c r="AA226" i="2"/>
  <c r="AA214" i="2"/>
  <c r="AD214" i="2" s="1"/>
  <c r="AA202" i="2"/>
  <c r="AA190" i="2"/>
  <c r="AA178" i="2"/>
  <c r="AA166" i="2"/>
  <c r="AD166" i="2" s="1"/>
  <c r="AA154" i="2"/>
  <c r="AA142" i="2"/>
  <c r="AA130" i="2"/>
  <c r="AA118" i="2"/>
  <c r="AA106" i="2"/>
  <c r="AA94" i="2"/>
  <c r="AD94" i="2" s="1"/>
  <c r="AA82" i="2"/>
  <c r="AA70" i="2"/>
  <c r="AA58" i="2"/>
  <c r="AA46" i="2"/>
  <c r="AA34" i="2"/>
  <c r="AA22" i="2"/>
  <c r="AD22" i="2" s="1"/>
  <c r="AA10" i="2"/>
  <c r="AE223" i="2"/>
  <c r="AE211" i="2"/>
  <c r="AE199" i="2"/>
  <c r="AE187" i="2"/>
  <c r="AE175" i="2"/>
  <c r="AE163" i="2"/>
  <c r="AE151" i="2"/>
  <c r="AE139" i="2"/>
  <c r="AE127" i="2"/>
  <c r="AE115" i="2"/>
  <c r="AE103" i="2"/>
  <c r="AE91" i="2"/>
  <c r="AE79" i="2"/>
  <c r="AE67" i="2"/>
  <c r="AE55" i="2"/>
  <c r="AE43" i="2"/>
  <c r="AE31" i="2"/>
  <c r="AE19" i="2"/>
  <c r="AE7" i="2"/>
  <c r="AC2" i="2"/>
  <c r="AF215" i="2"/>
  <c r="AF203" i="2"/>
  <c r="AF191" i="2"/>
  <c r="AF179" i="2"/>
  <c r="AF167" i="2"/>
  <c r="AF155" i="2"/>
  <c r="AF143" i="2"/>
  <c r="AF131" i="2"/>
  <c r="AF119" i="2"/>
  <c r="AF107" i="2"/>
  <c r="AF95" i="2"/>
  <c r="AF83" i="2"/>
  <c r="AF71" i="2"/>
  <c r="AF59" i="2"/>
  <c r="AF47" i="2"/>
  <c r="AF35" i="2"/>
  <c r="AF23" i="2"/>
  <c r="AF11" i="2"/>
  <c r="AA225" i="2"/>
  <c r="AD225" i="2" s="1"/>
  <c r="AA213" i="2"/>
  <c r="AA201" i="2"/>
  <c r="AA189" i="2"/>
  <c r="AA177" i="2"/>
  <c r="AA165" i="2"/>
  <c r="AA153" i="2"/>
  <c r="AA141" i="2"/>
  <c r="AA129" i="2"/>
  <c r="AA117" i="2"/>
  <c r="AA105" i="2"/>
  <c r="AA93" i="2"/>
  <c r="AA81" i="2"/>
  <c r="AD81" i="2" s="1"/>
  <c r="AA69" i="2"/>
  <c r="AA57" i="2"/>
  <c r="AA45" i="2"/>
  <c r="AA33" i="2"/>
  <c r="AD33" i="2" s="1"/>
  <c r="AA21" i="2"/>
  <c r="AD21" i="2" s="1"/>
  <c r="AA9" i="2"/>
  <c r="AE222" i="2"/>
  <c r="AE210" i="2"/>
  <c r="AE198" i="2"/>
  <c r="AE186" i="2"/>
  <c r="AE174" i="2"/>
  <c r="AE162" i="2"/>
  <c r="AE150" i="2"/>
  <c r="AE138" i="2"/>
  <c r="AE126" i="2"/>
  <c r="AE114" i="2"/>
  <c r="AE102" i="2"/>
  <c r="AE90" i="2"/>
  <c r="AE78" i="2"/>
  <c r="AE66" i="2"/>
  <c r="AE54" i="2"/>
  <c r="AE42" i="2"/>
  <c r="AE30" i="2"/>
  <c r="AE18" i="2"/>
  <c r="AE6" i="2"/>
  <c r="AF226" i="2"/>
  <c r="AF214" i="2"/>
  <c r="AF202" i="2"/>
  <c r="AF190" i="2"/>
  <c r="AF178" i="2"/>
  <c r="AF166" i="2"/>
  <c r="AF154" i="2"/>
  <c r="AF142" i="2"/>
  <c r="AF130" i="2"/>
  <c r="AF118" i="2"/>
  <c r="AF106" i="2"/>
  <c r="AF94" i="2"/>
  <c r="AF82" i="2"/>
  <c r="AF70" i="2"/>
  <c r="AF58" i="2"/>
  <c r="AF46" i="2"/>
  <c r="AF34" i="2"/>
  <c r="AF22" i="2"/>
  <c r="AF10" i="2"/>
  <c r="AA224" i="2"/>
  <c r="AA212" i="2"/>
  <c r="AA200" i="2"/>
  <c r="AA188" i="2"/>
  <c r="AA176" i="2"/>
  <c r="AA164" i="2"/>
  <c r="AA152" i="2"/>
  <c r="AA140" i="2"/>
  <c r="AA128" i="2"/>
  <c r="AD128" i="2" s="1"/>
  <c r="AA116" i="2"/>
  <c r="AA104" i="2"/>
  <c r="AA92" i="2"/>
  <c r="AA80" i="2"/>
  <c r="AA68" i="2"/>
  <c r="AA56" i="2"/>
  <c r="AA44" i="2"/>
  <c r="AA32" i="2"/>
  <c r="AA20" i="2"/>
  <c r="AA8" i="2"/>
  <c r="AE221" i="2"/>
  <c r="AE209" i="2"/>
  <c r="AE197" i="2"/>
  <c r="AE185" i="2"/>
  <c r="AE173" i="2"/>
  <c r="AE161" i="2"/>
  <c r="AE149" i="2"/>
  <c r="AE137" i="2"/>
  <c r="AE125" i="2"/>
  <c r="AE113" i="2"/>
  <c r="AE101" i="2"/>
  <c r="AE89" i="2"/>
  <c r="AE77" i="2"/>
  <c r="AE65" i="2"/>
  <c r="AE53" i="2"/>
  <c r="AE41" i="2"/>
  <c r="AE29" i="2"/>
  <c r="AE17" i="2"/>
  <c r="AE5" i="2"/>
  <c r="AF225" i="2"/>
  <c r="AF213" i="2"/>
  <c r="AF201" i="2"/>
  <c r="AF189" i="2"/>
  <c r="AF177" i="2"/>
  <c r="AF165" i="2"/>
  <c r="AF153" i="2"/>
  <c r="AF141" i="2"/>
  <c r="AF129" i="2"/>
  <c r="AF117" i="2"/>
  <c r="AF105" i="2"/>
  <c r="AF93" i="2"/>
  <c r="AF81" i="2"/>
  <c r="AF69" i="2"/>
  <c r="AF57" i="2"/>
  <c r="AF45" i="2"/>
  <c r="AF33" i="2"/>
  <c r="AF21" i="2"/>
  <c r="AF9" i="2"/>
  <c r="AA223" i="2"/>
  <c r="AA211" i="2"/>
  <c r="AA199" i="2"/>
  <c r="AA187" i="2"/>
  <c r="AA175" i="2"/>
  <c r="AD175" i="2" s="1"/>
  <c r="AA163" i="2"/>
  <c r="AA151" i="2"/>
  <c r="AD151" i="2" s="1"/>
  <c r="AA139" i="2"/>
  <c r="AA127" i="2"/>
  <c r="AA115" i="2"/>
  <c r="AA103" i="2"/>
  <c r="AA91" i="2"/>
  <c r="AD91" i="2" s="1"/>
  <c r="AA79" i="2"/>
  <c r="AA67" i="2"/>
  <c r="AA55" i="2"/>
  <c r="AA43" i="2"/>
  <c r="AA31" i="2"/>
  <c r="AD31" i="2" s="1"/>
  <c r="AA19" i="2"/>
  <c r="AA7" i="2"/>
  <c r="AD7" i="2" s="1"/>
  <c r="AE220" i="2"/>
  <c r="AE208" i="2"/>
  <c r="AE196" i="2"/>
  <c r="AE184" i="2"/>
  <c r="AE172" i="2"/>
  <c r="AE160" i="2"/>
  <c r="AE148" i="2"/>
  <c r="AE136" i="2"/>
  <c r="AE124" i="2"/>
  <c r="AE112" i="2"/>
  <c r="AE100" i="2"/>
  <c r="AE88" i="2"/>
  <c r="AE76" i="2"/>
  <c r="AE64" i="2"/>
  <c r="AE52" i="2"/>
  <c r="AE40" i="2"/>
  <c r="AE28" i="2"/>
  <c r="AE16" i="2"/>
  <c r="AE4" i="2"/>
  <c r="AF224" i="2"/>
  <c r="AF212" i="2"/>
  <c r="AF200" i="2"/>
  <c r="AF188" i="2"/>
  <c r="AF176" i="2"/>
  <c r="AF164" i="2"/>
  <c r="AF152" i="2"/>
  <c r="AF140" i="2"/>
  <c r="AF128" i="2"/>
  <c r="AF116" i="2"/>
  <c r="AF104" i="2"/>
  <c r="AF92" i="2"/>
  <c r="AF80" i="2"/>
  <c r="AF68" i="2"/>
  <c r="AF56" i="2"/>
  <c r="AF44" i="2"/>
  <c r="AF32" i="2"/>
  <c r="AF20" i="2"/>
  <c r="AF8" i="2"/>
  <c r="AA222" i="2"/>
  <c r="AA210" i="2"/>
  <c r="AA198" i="2"/>
  <c r="AA186" i="2"/>
  <c r="AA174" i="2"/>
  <c r="AA162" i="2"/>
  <c r="AA150" i="2"/>
  <c r="AA138" i="2"/>
  <c r="AD138" i="2" s="1"/>
  <c r="AA126" i="2"/>
  <c r="AD126" i="2" s="1"/>
  <c r="AA114" i="2"/>
  <c r="AA102" i="2"/>
  <c r="AA90" i="2"/>
  <c r="AA78" i="2"/>
  <c r="AA66" i="2"/>
  <c r="AA54" i="2"/>
  <c r="AA42" i="2"/>
  <c r="AA30" i="2"/>
  <c r="AA18" i="2"/>
  <c r="AA6" i="2"/>
  <c r="AE219" i="2"/>
  <c r="AE207" i="2"/>
  <c r="AE195" i="2"/>
  <c r="AE183" i="2"/>
  <c r="AE171" i="2"/>
  <c r="AE159" i="2"/>
  <c r="AE147" i="2"/>
  <c r="AE135" i="2"/>
  <c r="AE123" i="2"/>
  <c r="AE111" i="2"/>
  <c r="AE99" i="2"/>
  <c r="AE87" i="2"/>
  <c r="AE75" i="2"/>
  <c r="AE63" i="2"/>
  <c r="AE51" i="2"/>
  <c r="AE39" i="2"/>
  <c r="AE27" i="2"/>
  <c r="AE15" i="2"/>
  <c r="AE3" i="2"/>
  <c r="AF223" i="2"/>
  <c r="AF211" i="2"/>
  <c r="AF199" i="2"/>
  <c r="AF187" i="2"/>
  <c r="AF175" i="2"/>
  <c r="AF163" i="2"/>
  <c r="AF151" i="2"/>
  <c r="AF139" i="2"/>
  <c r="AF127" i="2"/>
  <c r="AF115" i="2"/>
  <c r="AF103" i="2"/>
  <c r="AF91" i="2"/>
  <c r="AF79" i="2"/>
  <c r="AF67" i="2"/>
  <c r="AF55" i="2"/>
  <c r="AF43" i="2"/>
  <c r="AF31" i="2"/>
  <c r="AF19" i="2"/>
  <c r="AF7" i="2"/>
  <c r="AA221" i="2"/>
  <c r="AA209" i="2"/>
  <c r="AA197" i="2"/>
  <c r="AA185" i="2"/>
  <c r="AA173" i="2"/>
  <c r="AA161" i="2"/>
  <c r="AA149" i="2"/>
  <c r="AA137" i="2"/>
  <c r="AA125" i="2"/>
  <c r="AA113" i="2"/>
  <c r="AA101" i="2"/>
  <c r="AA89" i="2"/>
  <c r="AA77" i="2"/>
  <c r="AA65" i="2"/>
  <c r="AA53" i="2"/>
  <c r="AA41" i="2"/>
  <c r="AA29" i="2"/>
  <c r="AD29" i="2" s="1"/>
  <c r="AA17" i="2"/>
  <c r="AA5" i="2"/>
  <c r="AE218" i="2"/>
  <c r="AE206" i="2"/>
  <c r="AE194" i="2"/>
  <c r="AE182" i="2"/>
  <c r="AE170" i="2"/>
  <c r="AE158" i="2"/>
  <c r="AE146" i="2"/>
  <c r="AE134" i="2"/>
  <c r="AE122" i="2"/>
  <c r="AE110" i="2"/>
  <c r="AE98" i="2"/>
  <c r="AE86" i="2"/>
  <c r="AE74" i="2"/>
  <c r="AE62" i="2"/>
  <c r="AE50" i="2"/>
  <c r="AE38" i="2"/>
  <c r="AE26" i="2"/>
  <c r="AE14" i="2"/>
  <c r="AE2" i="2"/>
  <c r="AF222" i="2"/>
  <c r="AF210" i="2"/>
  <c r="AF198" i="2"/>
  <c r="AF186" i="2"/>
  <c r="AF174" i="2"/>
  <c r="AF162" i="2"/>
  <c r="AF150" i="2"/>
  <c r="AF138" i="2"/>
  <c r="AF126" i="2"/>
  <c r="AF114" i="2"/>
  <c r="AF102" i="2"/>
  <c r="AF90" i="2"/>
  <c r="AF78" i="2"/>
  <c r="AF66" i="2"/>
  <c r="AF54" i="2"/>
  <c r="AF42" i="2"/>
  <c r="AF30" i="2"/>
  <c r="AF18" i="2"/>
  <c r="AF6" i="2"/>
  <c r="AA220" i="2"/>
  <c r="AA208" i="2"/>
  <c r="AA196" i="2"/>
  <c r="AA184" i="2"/>
  <c r="AD184" i="2" s="1"/>
  <c r="AA172" i="2"/>
  <c r="AA160" i="2"/>
  <c r="AA148" i="2"/>
  <c r="AA136" i="2"/>
  <c r="AA124" i="2"/>
  <c r="AA112" i="2"/>
  <c r="AA100" i="2"/>
  <c r="AA88" i="2"/>
  <c r="AA76" i="2"/>
  <c r="AA64" i="2"/>
  <c r="AA52" i="2"/>
  <c r="AA40" i="2"/>
  <c r="AA28" i="2"/>
  <c r="AA16" i="2"/>
  <c r="AA4" i="2"/>
  <c r="AE217" i="2"/>
  <c r="AE205" i="2"/>
  <c r="AE193" i="2"/>
  <c r="AE181" i="2"/>
  <c r="AE169" i="2"/>
  <c r="AE157" i="2"/>
  <c r="AE145" i="2"/>
  <c r="AE133" i="2"/>
  <c r="AE121" i="2"/>
  <c r="AE109" i="2"/>
  <c r="AE97" i="2"/>
  <c r="AE85" i="2"/>
  <c r="AE73" i="2"/>
  <c r="AE61" i="2"/>
  <c r="AE49" i="2"/>
  <c r="AE37" i="2"/>
  <c r="AE25" i="2"/>
  <c r="AE13" i="2"/>
  <c r="AF221" i="2"/>
  <c r="AF209" i="2"/>
  <c r="AF197" i="2"/>
  <c r="AF185" i="2"/>
  <c r="AF173" i="2"/>
  <c r="AF161" i="2"/>
  <c r="AF149" i="2"/>
  <c r="AF137" i="2"/>
  <c r="AF125" i="2"/>
  <c r="AF113" i="2"/>
  <c r="AF101" i="2"/>
  <c r="AF89" i="2"/>
  <c r="AF77" i="2"/>
  <c r="AF65" i="2"/>
  <c r="AF53" i="2"/>
  <c r="AF41" i="2"/>
  <c r="AF29" i="2"/>
  <c r="AF17" i="2"/>
  <c r="AF5" i="2"/>
  <c r="AA219" i="2"/>
  <c r="AA207" i="2"/>
  <c r="AA195" i="2"/>
  <c r="AA183" i="2"/>
  <c r="AA171" i="2"/>
  <c r="AA159" i="2"/>
  <c r="AA147" i="2"/>
  <c r="AA135" i="2"/>
  <c r="AA123" i="2"/>
  <c r="AA111" i="2"/>
  <c r="AA99" i="2"/>
  <c r="AA87" i="2"/>
  <c r="AA75" i="2"/>
  <c r="AA63" i="2"/>
  <c r="AA51" i="2"/>
  <c r="AA39" i="2"/>
  <c r="AA27" i="2"/>
  <c r="AA15" i="2"/>
  <c r="AA3" i="2"/>
  <c r="AE216" i="2"/>
  <c r="AE204" i="2"/>
  <c r="AE192" i="2"/>
  <c r="AE180" i="2"/>
  <c r="AE168" i="2"/>
  <c r="AE156" i="2"/>
  <c r="AE144" i="2"/>
  <c r="AE132" i="2"/>
  <c r="AE120" i="2"/>
  <c r="AE108" i="2"/>
  <c r="AE96" i="2"/>
  <c r="AE84" i="2"/>
  <c r="AE72" i="2"/>
  <c r="AE60" i="2"/>
  <c r="AE48" i="2"/>
  <c r="AE36" i="2"/>
  <c r="AE24" i="2"/>
  <c r="AE12" i="2"/>
  <c r="AF220" i="2"/>
  <c r="AF208" i="2"/>
  <c r="AF196" i="2"/>
  <c r="AF184" i="2"/>
  <c r="AF172" i="2"/>
  <c r="AF160" i="2"/>
  <c r="AF148" i="2"/>
  <c r="AF136" i="2"/>
  <c r="AF124" i="2"/>
  <c r="AF112" i="2"/>
  <c r="AF100" i="2"/>
  <c r="AF88" i="2"/>
  <c r="AF76" i="2"/>
  <c r="AF64" i="2"/>
  <c r="AF52" i="2"/>
  <c r="AF40" i="2"/>
  <c r="AF28" i="2"/>
  <c r="AF16" i="2"/>
  <c r="AF4" i="2"/>
  <c r="AA218" i="2"/>
  <c r="AA206" i="2"/>
  <c r="AA194" i="2"/>
  <c r="AA182" i="2"/>
  <c r="AA170" i="2"/>
  <c r="AA158" i="2"/>
  <c r="AA146" i="2"/>
  <c r="AA134" i="2"/>
  <c r="AA122" i="2"/>
  <c r="AA110" i="2"/>
  <c r="AD110" i="2" s="1"/>
  <c r="AA98" i="2"/>
  <c r="AA86" i="2"/>
  <c r="AA74" i="2"/>
  <c r="AA62" i="2"/>
  <c r="AA50" i="2"/>
  <c r="AA38" i="2"/>
  <c r="AA26" i="2"/>
  <c r="AA14" i="2"/>
  <c r="AA2" i="2"/>
  <c r="AE215" i="2"/>
  <c r="AE203" i="2"/>
  <c r="AE191" i="2"/>
  <c r="AE179" i="2"/>
  <c r="AE167" i="2"/>
  <c r="AE155" i="2"/>
  <c r="AE143" i="2"/>
  <c r="AE131" i="2"/>
  <c r="AE119" i="2"/>
  <c r="AE107" i="2"/>
  <c r="AE95" i="2"/>
  <c r="AE83" i="2"/>
  <c r="AE71" i="2"/>
  <c r="AE59" i="2"/>
  <c r="AE47" i="2"/>
  <c r="AE35" i="2"/>
  <c r="AE23" i="2"/>
  <c r="AE11" i="2"/>
  <c r="AF219" i="2"/>
  <c r="AF207" i="2"/>
  <c r="AF195" i="2"/>
  <c r="AF183" i="2"/>
  <c r="AF171" i="2"/>
  <c r="AF159" i="2"/>
  <c r="AF147" i="2"/>
  <c r="AF135" i="2"/>
  <c r="AF123" i="2"/>
  <c r="AF111" i="2"/>
  <c r="AF99" i="2"/>
  <c r="AF87" i="2"/>
  <c r="AF75" i="2"/>
  <c r="AF63" i="2"/>
  <c r="AF51" i="2"/>
  <c r="AF39" i="2"/>
  <c r="AF27" i="2"/>
  <c r="AF15" i="2"/>
  <c r="AF3" i="2"/>
  <c r="AA217" i="2"/>
  <c r="AA205" i="2"/>
  <c r="AD205" i="2" s="1"/>
  <c r="AA193" i="2"/>
  <c r="AA181" i="2"/>
  <c r="AA169" i="2"/>
  <c r="AA157" i="2"/>
  <c r="AD157" i="2" s="1"/>
  <c r="AA145" i="2"/>
  <c r="AA133" i="2"/>
  <c r="AD133" i="2" s="1"/>
  <c r="AA121" i="2"/>
  <c r="AA109" i="2"/>
  <c r="AA97" i="2"/>
  <c r="AA85" i="2"/>
  <c r="AA73" i="2"/>
  <c r="AD73" i="2" s="1"/>
  <c r="AA61" i="2"/>
  <c r="AD61" i="2" s="1"/>
  <c r="AA49" i="2"/>
  <c r="AD49" i="2" s="1"/>
  <c r="AA37" i="2"/>
  <c r="AA25" i="2"/>
  <c r="AA13" i="2"/>
  <c r="AE226" i="2"/>
  <c r="AE214" i="2"/>
  <c r="AE202" i="2"/>
  <c r="AE190" i="2"/>
  <c r="AE178" i="2"/>
  <c r="AE166" i="2"/>
  <c r="AE154" i="2"/>
  <c r="AE142" i="2"/>
  <c r="AE130" i="2"/>
  <c r="AE118" i="2"/>
  <c r="AE106" i="2"/>
  <c r="AE94" i="2"/>
  <c r="AE82" i="2"/>
  <c r="AE70" i="2"/>
  <c r="AE58" i="2"/>
  <c r="AE46" i="2"/>
  <c r="AE34" i="2"/>
  <c r="AE22" i="2"/>
  <c r="AE10" i="2"/>
  <c r="AF218" i="2"/>
  <c r="AF206" i="2"/>
  <c r="AF194" i="2"/>
  <c r="AF182" i="2"/>
  <c r="AF170" i="2"/>
  <c r="AF158" i="2"/>
  <c r="AF146" i="2"/>
  <c r="AF134" i="2"/>
  <c r="AF122" i="2"/>
  <c r="AF110" i="2"/>
  <c r="AF98" i="2"/>
  <c r="AF86" i="2"/>
  <c r="AF74" i="2"/>
  <c r="AF62" i="2"/>
  <c r="AF50" i="2"/>
  <c r="AF38" i="2"/>
  <c r="AF26" i="2"/>
  <c r="AF14" i="2"/>
  <c r="AF2" i="2"/>
  <c r="AD206" i="2"/>
  <c r="AD11" i="2"/>
  <c r="AD13" i="2"/>
  <c r="AD72" i="2"/>
  <c r="AD69" i="2"/>
  <c r="AD131" i="2"/>
  <c r="AD32" i="2"/>
  <c r="AC226" i="2"/>
  <c r="AC214" i="2"/>
  <c r="AC202" i="2"/>
  <c r="AC190" i="2"/>
  <c r="AC178" i="2"/>
  <c r="AC166" i="2"/>
  <c r="AC154" i="2"/>
  <c r="AC142" i="2"/>
  <c r="AC130" i="2"/>
  <c r="AC118" i="2"/>
  <c r="AC106" i="2"/>
  <c r="AC94" i="2"/>
  <c r="AC82" i="2"/>
  <c r="AC70" i="2"/>
  <c r="AC58" i="2"/>
  <c r="AC46" i="2"/>
  <c r="AC34" i="2"/>
  <c r="AC22" i="2"/>
  <c r="AC10" i="2"/>
  <c r="AB220" i="2"/>
  <c r="AB208" i="2"/>
  <c r="AB196" i="2"/>
  <c r="AB184" i="2"/>
  <c r="AB172" i="2"/>
  <c r="AB160" i="2"/>
  <c r="AB148" i="2"/>
  <c r="AB136" i="2"/>
  <c r="AB124" i="2"/>
  <c r="AB112" i="2"/>
  <c r="AB100" i="2"/>
  <c r="AB88" i="2"/>
  <c r="AB76" i="2"/>
  <c r="AB64" i="2"/>
  <c r="AB52" i="2"/>
  <c r="AB40" i="2"/>
  <c r="AB28" i="2"/>
  <c r="AB16" i="2"/>
  <c r="AB4" i="2"/>
  <c r="AC225" i="2"/>
  <c r="AC213" i="2"/>
  <c r="AC201" i="2"/>
  <c r="AC189" i="2"/>
  <c r="AC177" i="2"/>
  <c r="AC165" i="2"/>
  <c r="AC153" i="2"/>
  <c r="AC141" i="2"/>
  <c r="AC129" i="2"/>
  <c r="AC117" i="2"/>
  <c r="AC105" i="2"/>
  <c r="AC93" i="2"/>
  <c r="AC81" i="2"/>
  <c r="AC69" i="2"/>
  <c r="AC57" i="2"/>
  <c r="AC45" i="2"/>
  <c r="AC33" i="2"/>
  <c r="AC21" i="2"/>
  <c r="AC9" i="2"/>
  <c r="AB219" i="2"/>
  <c r="AB207" i="2"/>
  <c r="AB195" i="2"/>
  <c r="AB183" i="2"/>
  <c r="AB171" i="2"/>
  <c r="AB159" i="2"/>
  <c r="AB147" i="2"/>
  <c r="AB135" i="2"/>
  <c r="AB123" i="2"/>
  <c r="AB111" i="2"/>
  <c r="AB99" i="2"/>
  <c r="AB87" i="2"/>
  <c r="AB75" i="2"/>
  <c r="AB63" i="2"/>
  <c r="AB51" i="2"/>
  <c r="AB39" i="2"/>
  <c r="AB27" i="2"/>
  <c r="AB15" i="2"/>
  <c r="AB3" i="2"/>
  <c r="AC224" i="2"/>
  <c r="AC212" i="2"/>
  <c r="AC200" i="2"/>
  <c r="AC188" i="2"/>
  <c r="AC176" i="2"/>
  <c r="AC164" i="2"/>
  <c r="AC152" i="2"/>
  <c r="AC140" i="2"/>
  <c r="AC128" i="2"/>
  <c r="AC116" i="2"/>
  <c r="AC104" i="2"/>
  <c r="AC92" i="2"/>
  <c r="AC80" i="2"/>
  <c r="AC68" i="2"/>
  <c r="AC56" i="2"/>
  <c r="AC44" i="2"/>
  <c r="AC32" i="2"/>
  <c r="AC20" i="2"/>
  <c r="AC8" i="2"/>
  <c r="AB218" i="2"/>
  <c r="AB206" i="2"/>
  <c r="AB194" i="2"/>
  <c r="AB182" i="2"/>
  <c r="AB170" i="2"/>
  <c r="AB158" i="2"/>
  <c r="AB146" i="2"/>
  <c r="AB134" i="2"/>
  <c r="AB122" i="2"/>
  <c r="AB110" i="2"/>
  <c r="AB98" i="2"/>
  <c r="AB86" i="2"/>
  <c r="AB74" i="2"/>
  <c r="AB62" i="2"/>
  <c r="AB50" i="2"/>
  <c r="AB38" i="2"/>
  <c r="AB26" i="2"/>
  <c r="AB14" i="2"/>
  <c r="AC223" i="2"/>
  <c r="AC211" i="2"/>
  <c r="AC199" i="2"/>
  <c r="AC187" i="2"/>
  <c r="AC175" i="2"/>
  <c r="AC163" i="2"/>
  <c r="AC151" i="2"/>
  <c r="AC139" i="2"/>
  <c r="AC127" i="2"/>
  <c r="AC115" i="2"/>
  <c r="AC103" i="2"/>
  <c r="AC91" i="2"/>
  <c r="AC79" i="2"/>
  <c r="AC67" i="2"/>
  <c r="AC55" i="2"/>
  <c r="AC43" i="2"/>
  <c r="AC31" i="2"/>
  <c r="AC19" i="2"/>
  <c r="AC7" i="2"/>
  <c r="AB217" i="2"/>
  <c r="AB205" i="2"/>
  <c r="AB193" i="2"/>
  <c r="AB181" i="2"/>
  <c r="AB169" i="2"/>
  <c r="AB157" i="2"/>
  <c r="AB145" i="2"/>
  <c r="AB133" i="2"/>
  <c r="AB121" i="2"/>
  <c r="AB109" i="2"/>
  <c r="AB97" i="2"/>
  <c r="AB85" i="2"/>
  <c r="AB73" i="2"/>
  <c r="AB61" i="2"/>
  <c r="AB49" i="2"/>
  <c r="AB37" i="2"/>
  <c r="AB25" i="2"/>
  <c r="AB13" i="2"/>
  <c r="AC222" i="2"/>
  <c r="AC210" i="2"/>
  <c r="AC198" i="2"/>
  <c r="AC186" i="2"/>
  <c r="AC174" i="2"/>
  <c r="AC162" i="2"/>
  <c r="AC150" i="2"/>
  <c r="AC138" i="2"/>
  <c r="AC126" i="2"/>
  <c r="AC114" i="2"/>
  <c r="AC102" i="2"/>
  <c r="AC90" i="2"/>
  <c r="AC78" i="2"/>
  <c r="AC66" i="2"/>
  <c r="AC54" i="2"/>
  <c r="AC42" i="2"/>
  <c r="AC30" i="2"/>
  <c r="AC18" i="2"/>
  <c r="AC6" i="2"/>
  <c r="AB216" i="2"/>
  <c r="AB204" i="2"/>
  <c r="AB192" i="2"/>
  <c r="AB180" i="2"/>
  <c r="AB168" i="2"/>
  <c r="AB156" i="2"/>
  <c r="AB144" i="2"/>
  <c r="AB132" i="2"/>
  <c r="AB120" i="2"/>
  <c r="AB108" i="2"/>
  <c r="AB96" i="2"/>
  <c r="AB84" i="2"/>
  <c r="AB72" i="2"/>
  <c r="AB60" i="2"/>
  <c r="AB48" i="2"/>
  <c r="AB36" i="2"/>
  <c r="AB24" i="2"/>
  <c r="AB12" i="2"/>
  <c r="AC221" i="2"/>
  <c r="AC209" i="2"/>
  <c r="AC197" i="2"/>
  <c r="AC185" i="2"/>
  <c r="AC173" i="2"/>
  <c r="AC161" i="2"/>
  <c r="AC149" i="2"/>
  <c r="AC137" i="2"/>
  <c r="AC125" i="2"/>
  <c r="AC113" i="2"/>
  <c r="AC101" i="2"/>
  <c r="AC89" i="2"/>
  <c r="AC77" i="2"/>
  <c r="AC65" i="2"/>
  <c r="AC53" i="2"/>
  <c r="AC41" i="2"/>
  <c r="AC29" i="2"/>
  <c r="AC17" i="2"/>
  <c r="AC5" i="2"/>
  <c r="AB215" i="2"/>
  <c r="AB203" i="2"/>
  <c r="AB191" i="2"/>
  <c r="AB179" i="2"/>
  <c r="AB167" i="2"/>
  <c r="AB155" i="2"/>
  <c r="AB143" i="2"/>
  <c r="AB131" i="2"/>
  <c r="AB119" i="2"/>
  <c r="AB107" i="2"/>
  <c r="AB95" i="2"/>
  <c r="AB83" i="2"/>
  <c r="AB71" i="2"/>
  <c r="AB59" i="2"/>
  <c r="AB47" i="2"/>
  <c r="AB35" i="2"/>
  <c r="AB23" i="2"/>
  <c r="AB11" i="2"/>
  <c r="AC220" i="2"/>
  <c r="AC208" i="2"/>
  <c r="AC196" i="2"/>
  <c r="AC184" i="2"/>
  <c r="AC172" i="2"/>
  <c r="AC160" i="2"/>
  <c r="AC148" i="2"/>
  <c r="AC136" i="2"/>
  <c r="AC124" i="2"/>
  <c r="AC112" i="2"/>
  <c r="AC100" i="2"/>
  <c r="AC88" i="2"/>
  <c r="AC76" i="2"/>
  <c r="AC64" i="2"/>
  <c r="AC52" i="2"/>
  <c r="AC40" i="2"/>
  <c r="AC28" i="2"/>
  <c r="AC16" i="2"/>
  <c r="AC4" i="2"/>
  <c r="AB226" i="2"/>
  <c r="AB214" i="2"/>
  <c r="AB202" i="2"/>
  <c r="AB190" i="2"/>
  <c r="AB178" i="2"/>
  <c r="AB166" i="2"/>
  <c r="AB154" i="2"/>
  <c r="AB142" i="2"/>
  <c r="AB130" i="2"/>
  <c r="AB118" i="2"/>
  <c r="AB106" i="2"/>
  <c r="AB94" i="2"/>
  <c r="AB82" i="2"/>
  <c r="AB70" i="2"/>
  <c r="AB58" i="2"/>
  <c r="AB46" i="2"/>
  <c r="AB34" i="2"/>
  <c r="AB22" i="2"/>
  <c r="AB10" i="2"/>
  <c r="AC219" i="2"/>
  <c r="AC207" i="2"/>
  <c r="AC195" i="2"/>
  <c r="AC183" i="2"/>
  <c r="AC171" i="2"/>
  <c r="AC159" i="2"/>
  <c r="AC147" i="2"/>
  <c r="AC135" i="2"/>
  <c r="AC123" i="2"/>
  <c r="AC111" i="2"/>
  <c r="AC99" i="2"/>
  <c r="AC87" i="2"/>
  <c r="AC75" i="2"/>
  <c r="AC63" i="2"/>
  <c r="AC51" i="2"/>
  <c r="AC39" i="2"/>
  <c r="AC27" i="2"/>
  <c r="AC15" i="2"/>
  <c r="AC3" i="2"/>
  <c r="AB225" i="2"/>
  <c r="AB213" i="2"/>
  <c r="AB201" i="2"/>
  <c r="AB189" i="2"/>
  <c r="AB177" i="2"/>
  <c r="AB165" i="2"/>
  <c r="AB153" i="2"/>
  <c r="AB141" i="2"/>
  <c r="AB129" i="2"/>
  <c r="AB117" i="2"/>
  <c r="AB105" i="2"/>
  <c r="AB93" i="2"/>
  <c r="AB81" i="2"/>
  <c r="AB69" i="2"/>
  <c r="AB57" i="2"/>
  <c r="AB45" i="2"/>
  <c r="AB33" i="2"/>
  <c r="AB21" i="2"/>
  <c r="AB9" i="2"/>
  <c r="AC218" i="2"/>
  <c r="AC206" i="2"/>
  <c r="AC194" i="2"/>
  <c r="AC182" i="2"/>
  <c r="AC170" i="2"/>
  <c r="AC158" i="2"/>
  <c r="AC146" i="2"/>
  <c r="AC134" i="2"/>
  <c r="AC122" i="2"/>
  <c r="AC110" i="2"/>
  <c r="AC98" i="2"/>
  <c r="AC86" i="2"/>
  <c r="AC74" i="2"/>
  <c r="AC62" i="2"/>
  <c r="AC50" i="2"/>
  <c r="AC38" i="2"/>
  <c r="AC26" i="2"/>
  <c r="AC14" i="2"/>
  <c r="AB224" i="2"/>
  <c r="AB212" i="2"/>
  <c r="AB200" i="2"/>
  <c r="AB188" i="2"/>
  <c r="AB176" i="2"/>
  <c r="AB164" i="2"/>
  <c r="AB152" i="2"/>
  <c r="AB140" i="2"/>
  <c r="AB128" i="2"/>
  <c r="AB116" i="2"/>
  <c r="AB104" i="2"/>
  <c r="AB92" i="2"/>
  <c r="AB80" i="2"/>
  <c r="AB68" i="2"/>
  <c r="AB56" i="2"/>
  <c r="AB44" i="2"/>
  <c r="AB32" i="2"/>
  <c r="AB20" i="2"/>
  <c r="AB8" i="2"/>
  <c r="AC217" i="2"/>
  <c r="AC205" i="2"/>
  <c r="AC193" i="2"/>
  <c r="AC181" i="2"/>
  <c r="AC169" i="2"/>
  <c r="AC157" i="2"/>
  <c r="AC145" i="2"/>
  <c r="AC133" i="2"/>
  <c r="AC121" i="2"/>
  <c r="AC109" i="2"/>
  <c r="AC97" i="2"/>
  <c r="AC85" i="2"/>
  <c r="AC73" i="2"/>
  <c r="AC61" i="2"/>
  <c r="AC49" i="2"/>
  <c r="AC37" i="2"/>
  <c r="AC25" i="2"/>
  <c r="AC13" i="2"/>
  <c r="AB223" i="2"/>
  <c r="AB211" i="2"/>
  <c r="AB199" i="2"/>
  <c r="AB187" i="2"/>
  <c r="AB175" i="2"/>
  <c r="AB163" i="2"/>
  <c r="AB151" i="2"/>
  <c r="AB139" i="2"/>
  <c r="AB127" i="2"/>
  <c r="AB115" i="2"/>
  <c r="AB103" i="2"/>
  <c r="AB91" i="2"/>
  <c r="AB79" i="2"/>
  <c r="AB67" i="2"/>
  <c r="AB55" i="2"/>
  <c r="AB43" i="2"/>
  <c r="AB31" i="2"/>
  <c r="AB19" i="2"/>
  <c r="AB7" i="2"/>
  <c r="AC216" i="2"/>
  <c r="AC204" i="2"/>
  <c r="AC192" i="2"/>
  <c r="AC180" i="2"/>
  <c r="AC168" i="2"/>
  <c r="AC156" i="2"/>
  <c r="AC144" i="2"/>
  <c r="AC132" i="2"/>
  <c r="AC120" i="2"/>
  <c r="AC108" i="2"/>
  <c r="AC96" i="2"/>
  <c r="AC84" i="2"/>
  <c r="AC72" i="2"/>
  <c r="AC60" i="2"/>
  <c r="AC48" i="2"/>
  <c r="AC36" i="2"/>
  <c r="AC24" i="2"/>
  <c r="AC12" i="2"/>
  <c r="AB222" i="2"/>
  <c r="AB210" i="2"/>
  <c r="AB198" i="2"/>
  <c r="AB186" i="2"/>
  <c r="AB174" i="2"/>
  <c r="AB162" i="2"/>
  <c r="AB150" i="2"/>
  <c r="AB138" i="2"/>
  <c r="AB126" i="2"/>
  <c r="AB114" i="2"/>
  <c r="AB102" i="2"/>
  <c r="AB90" i="2"/>
  <c r="AB78" i="2"/>
  <c r="AB66" i="2"/>
  <c r="AB54" i="2"/>
  <c r="AB42" i="2"/>
  <c r="AB30" i="2"/>
  <c r="AB18" i="2"/>
  <c r="AB6" i="2"/>
  <c r="AC215" i="2"/>
  <c r="AC203" i="2"/>
  <c r="AC191" i="2"/>
  <c r="AC179" i="2"/>
  <c r="AC167" i="2"/>
  <c r="AC155" i="2"/>
  <c r="AC143" i="2"/>
  <c r="AC131" i="2"/>
  <c r="AC119" i="2"/>
  <c r="AC107" i="2"/>
  <c r="AC95" i="2"/>
  <c r="AC83" i="2"/>
  <c r="AC71" i="2"/>
  <c r="AC59" i="2"/>
  <c r="AC47" i="2"/>
  <c r="AC35" i="2"/>
  <c r="AC23" i="2"/>
  <c r="AC11" i="2"/>
  <c r="AB221" i="2"/>
  <c r="AB209" i="2"/>
  <c r="AB197" i="2"/>
  <c r="AB185" i="2"/>
  <c r="AB173" i="2"/>
  <c r="AB161" i="2"/>
  <c r="AB149" i="2"/>
  <c r="AB137" i="2"/>
  <c r="AB125" i="2"/>
  <c r="AB113" i="2"/>
  <c r="AB101" i="2"/>
  <c r="AB89" i="2"/>
  <c r="AB77" i="2"/>
  <c r="AB65" i="2"/>
  <c r="AB53" i="2"/>
  <c r="AB41" i="2"/>
  <c r="AB29" i="2"/>
  <c r="AB17" i="2"/>
  <c r="AB5" i="2"/>
  <c r="C5" i="3" a="1"/>
  <c r="C5" i="3" s="1"/>
  <c r="C2" i="3" a="1"/>
  <c r="C2" i="3" s="1"/>
  <c r="B5" i="3"/>
  <c r="B2" i="3"/>
  <c r="V208" i="2"/>
  <c r="V196" i="2"/>
  <c r="V184" i="2"/>
  <c r="V172" i="2"/>
  <c r="V160" i="2"/>
  <c r="V148" i="2"/>
  <c r="V136" i="2"/>
  <c r="V124" i="2"/>
  <c r="V112" i="2"/>
  <c r="V100" i="2"/>
  <c r="V88" i="2"/>
  <c r="V76" i="2"/>
  <c r="V64" i="2"/>
  <c r="V52" i="2"/>
  <c r="V40" i="2"/>
  <c r="V28" i="2"/>
  <c r="V16" i="2"/>
  <c r="V4" i="2"/>
  <c r="V220" i="2"/>
  <c r="V2" i="2"/>
  <c r="V218" i="2"/>
  <c r="V194" i="2"/>
  <c r="V170" i="2"/>
  <c r="V134" i="2"/>
  <c r="V86" i="2"/>
  <c r="V50" i="2"/>
  <c r="V206" i="2"/>
  <c r="V182" i="2"/>
  <c r="V158" i="2"/>
  <c r="V146" i="2"/>
  <c r="V122" i="2"/>
  <c r="V110" i="2"/>
  <c r="V98" i="2"/>
  <c r="V74" i="2"/>
  <c r="V62" i="2"/>
  <c r="V38" i="2"/>
  <c r="V26" i="2"/>
  <c r="V14" i="2"/>
  <c r="X215" i="2"/>
  <c r="X197" i="2"/>
  <c r="X173" i="2"/>
  <c r="X155" i="2"/>
  <c r="X131" i="2"/>
  <c r="X113" i="2"/>
  <c r="X101" i="2"/>
  <c r="X89" i="2"/>
  <c r="X77" i="2"/>
  <c r="X59" i="2"/>
  <c r="X47" i="2"/>
  <c r="X23" i="2"/>
  <c r="X226" i="2"/>
  <c r="X202" i="2"/>
  <c r="X184" i="2"/>
  <c r="X94" i="2"/>
  <c r="X8" i="2"/>
  <c r="X13" i="2"/>
  <c r="X7" i="2"/>
  <c r="X223" i="2"/>
  <c r="X217" i="2"/>
  <c r="X205" i="2"/>
  <c r="X199" i="2"/>
  <c r="X193" i="2"/>
  <c r="X187" i="2"/>
  <c r="X181" i="2"/>
  <c r="X175" i="2"/>
  <c r="X169" i="2"/>
  <c r="X163" i="2"/>
  <c r="X157" i="2"/>
  <c r="X151" i="2"/>
  <c r="X145" i="2"/>
  <c r="X139" i="2"/>
  <c r="X133" i="2"/>
  <c r="X127" i="2"/>
  <c r="X121" i="2"/>
  <c r="X115" i="2"/>
  <c r="X109" i="2"/>
  <c r="X103" i="2"/>
  <c r="X97" i="2"/>
  <c r="X91" i="2"/>
  <c r="X85" i="2"/>
  <c r="X79" i="2"/>
  <c r="X73" i="2"/>
  <c r="X67" i="2"/>
  <c r="X61" i="2"/>
  <c r="X55" i="2"/>
  <c r="X49" i="2"/>
  <c r="X43" i="2"/>
  <c r="X37" i="2"/>
  <c r="X31" i="2"/>
  <c r="X25" i="2"/>
  <c r="X19" i="2"/>
  <c r="X222" i="2"/>
  <c r="X216" i="2"/>
  <c r="X210" i="2"/>
  <c r="X204" i="2"/>
  <c r="X198" i="2"/>
  <c r="X192" i="2"/>
  <c r="X186" i="2"/>
  <c r="X180" i="2"/>
  <c r="X174" i="2"/>
  <c r="X168" i="2"/>
  <c r="X162" i="2"/>
  <c r="X156" i="2"/>
  <c r="X150" i="2"/>
  <c r="X144" i="2"/>
  <c r="X138" i="2"/>
  <c r="X132" i="2"/>
  <c r="X126" i="2"/>
  <c r="X120" i="2"/>
  <c r="X114" i="2"/>
  <c r="X108" i="2"/>
  <c r="X102" i="2"/>
  <c r="X96" i="2"/>
  <c r="X90" i="2"/>
  <c r="X84" i="2"/>
  <c r="X78" i="2"/>
  <c r="X72" i="2"/>
  <c r="X66" i="2"/>
  <c r="X60" i="2"/>
  <c r="X54" i="2"/>
  <c r="X48" i="2"/>
  <c r="X42" i="2"/>
  <c r="X36" i="2"/>
  <c r="X30" i="2"/>
  <c r="X24" i="2"/>
  <c r="X18" i="2"/>
  <c r="X6" i="2"/>
  <c r="X211" i="2"/>
  <c r="X12" i="2"/>
  <c r="X11" i="2"/>
  <c r="X5" i="2"/>
  <c r="X10" i="2"/>
  <c r="X4" i="2"/>
  <c r="X209" i="2"/>
  <c r="X191" i="2"/>
  <c r="X179" i="2"/>
  <c r="X161" i="2"/>
  <c r="X143" i="2"/>
  <c r="X125" i="2"/>
  <c r="X71" i="2"/>
  <c r="X220" i="2"/>
  <c r="X208" i="2"/>
  <c r="X190" i="2"/>
  <c r="X178" i="2"/>
  <c r="X166" i="2"/>
  <c r="X154" i="2"/>
  <c r="X142" i="2"/>
  <c r="X130" i="2"/>
  <c r="X118" i="2"/>
  <c r="X106" i="2"/>
  <c r="X88" i="2"/>
  <c r="X76" i="2"/>
  <c r="X64" i="2"/>
  <c r="X52" i="2"/>
  <c r="X40" i="2"/>
  <c r="X28" i="2"/>
  <c r="X22" i="2"/>
  <c r="X225" i="2"/>
  <c r="X219" i="2"/>
  <c r="X213" i="2"/>
  <c r="X207" i="2"/>
  <c r="X201" i="2"/>
  <c r="X195" i="2"/>
  <c r="X189" i="2"/>
  <c r="X183" i="2"/>
  <c r="X177" i="2"/>
  <c r="X171" i="2"/>
  <c r="X165" i="2"/>
  <c r="X159" i="2"/>
  <c r="X153" i="2"/>
  <c r="X147" i="2"/>
  <c r="X141" i="2"/>
  <c r="X135" i="2"/>
  <c r="X129" i="2"/>
  <c r="X123" i="2"/>
  <c r="X117" i="2"/>
  <c r="X111" i="2"/>
  <c r="X105" i="2"/>
  <c r="X99" i="2"/>
  <c r="X93" i="2"/>
  <c r="X87" i="2"/>
  <c r="X81" i="2"/>
  <c r="X75" i="2"/>
  <c r="X69" i="2"/>
  <c r="X63" i="2"/>
  <c r="X57" i="2"/>
  <c r="X51" i="2"/>
  <c r="X45" i="2"/>
  <c r="X39" i="2"/>
  <c r="X33" i="2"/>
  <c r="X27" i="2"/>
  <c r="X21" i="2"/>
  <c r="X15" i="2"/>
  <c r="X3" i="2"/>
  <c r="X9" i="2"/>
  <c r="X221" i="2"/>
  <c r="X203" i="2"/>
  <c r="X185" i="2"/>
  <c r="X167" i="2"/>
  <c r="X149" i="2"/>
  <c r="X137" i="2"/>
  <c r="X119" i="2"/>
  <c r="X107" i="2"/>
  <c r="X95" i="2"/>
  <c r="X83" i="2"/>
  <c r="X65" i="2"/>
  <c r="X53" i="2"/>
  <c r="X41" i="2"/>
  <c r="X35" i="2"/>
  <c r="X29" i="2"/>
  <c r="X17" i="2"/>
  <c r="X214" i="2"/>
  <c r="X196" i="2"/>
  <c r="X172" i="2"/>
  <c r="X160" i="2"/>
  <c r="X148" i="2"/>
  <c r="X136" i="2"/>
  <c r="X124" i="2"/>
  <c r="X112" i="2"/>
  <c r="X100" i="2"/>
  <c r="X82" i="2"/>
  <c r="X70" i="2"/>
  <c r="X58" i="2"/>
  <c r="X46" i="2"/>
  <c r="X34" i="2"/>
  <c r="X16" i="2"/>
  <c r="X224" i="2"/>
  <c r="X218" i="2"/>
  <c r="X212" i="2"/>
  <c r="X206" i="2"/>
  <c r="X200" i="2"/>
  <c r="X194" i="2"/>
  <c r="X188" i="2"/>
  <c r="X182" i="2"/>
  <c r="X176" i="2"/>
  <c r="X170" i="2"/>
  <c r="X164" i="2"/>
  <c r="X158" i="2"/>
  <c r="X152" i="2"/>
  <c r="X146" i="2"/>
  <c r="X140" i="2"/>
  <c r="X134" i="2"/>
  <c r="X128" i="2"/>
  <c r="X122" i="2"/>
  <c r="X116" i="2"/>
  <c r="X110" i="2"/>
  <c r="X104" i="2"/>
  <c r="X98" i="2"/>
  <c r="X92" i="2"/>
  <c r="X86" i="2"/>
  <c r="X80" i="2"/>
  <c r="X74" i="2"/>
  <c r="X68" i="2"/>
  <c r="X62" i="2"/>
  <c r="X56" i="2"/>
  <c r="X50" i="2"/>
  <c r="X44" i="2"/>
  <c r="X38" i="2"/>
  <c r="X32" i="2"/>
  <c r="X26" i="2"/>
  <c r="X20" i="2"/>
  <c r="X14" i="2"/>
  <c r="X2" i="2"/>
  <c r="V219" i="2"/>
  <c r="V207" i="2"/>
  <c r="V195" i="2"/>
  <c r="V183" i="2"/>
  <c r="V171" i="2"/>
  <c r="V159" i="2"/>
  <c r="V147" i="2"/>
  <c r="V135" i="2"/>
  <c r="V123" i="2"/>
  <c r="V111" i="2"/>
  <c r="V99" i="2"/>
  <c r="V87" i="2"/>
  <c r="V75" i="2"/>
  <c r="V63" i="2"/>
  <c r="V51" i="2"/>
  <c r="V39" i="2"/>
  <c r="V27" i="2"/>
  <c r="V15" i="2"/>
  <c r="V3" i="2"/>
  <c r="V12" i="2"/>
  <c r="V217" i="2"/>
  <c r="V205" i="2"/>
  <c r="V193" i="2"/>
  <c r="V181" i="2"/>
  <c r="V169" i="2"/>
  <c r="V157" i="2"/>
  <c r="V145" i="2"/>
  <c r="V133" i="2"/>
  <c r="V121" i="2"/>
  <c r="V109" i="2"/>
  <c r="V97" i="2"/>
  <c r="V85" i="2"/>
  <c r="V73" i="2"/>
  <c r="V61" i="2"/>
  <c r="V49" i="2"/>
  <c r="V37" i="2"/>
  <c r="V25" i="2"/>
  <c r="V13" i="2"/>
  <c r="V216" i="2"/>
  <c r="V204" i="2"/>
  <c r="V192" i="2"/>
  <c r="V180" i="2"/>
  <c r="V168" i="2"/>
  <c r="V156" i="2"/>
  <c r="V144" i="2"/>
  <c r="V132" i="2"/>
  <c r="V120" i="2"/>
  <c r="V108" i="2"/>
  <c r="V96" i="2"/>
  <c r="V84" i="2"/>
  <c r="V72" i="2"/>
  <c r="V60" i="2"/>
  <c r="V48" i="2"/>
  <c r="V36" i="2"/>
  <c r="V24" i="2"/>
  <c r="V215" i="2"/>
  <c r="V203" i="2"/>
  <c r="V191" i="2"/>
  <c r="V179" i="2"/>
  <c r="V167" i="2"/>
  <c r="V155" i="2"/>
  <c r="V143" i="2"/>
  <c r="V131" i="2"/>
  <c r="V119" i="2"/>
  <c r="V107" i="2"/>
  <c r="V95" i="2"/>
  <c r="V83" i="2"/>
  <c r="V71" i="2"/>
  <c r="V59" i="2"/>
  <c r="V47" i="2"/>
  <c r="V35" i="2"/>
  <c r="V23" i="2"/>
  <c r="V11" i="2"/>
  <c r="V226" i="2"/>
  <c r="V214" i="2"/>
  <c r="V202" i="2"/>
  <c r="V190" i="2"/>
  <c r="V178" i="2"/>
  <c r="V166" i="2"/>
  <c r="V154" i="2"/>
  <c r="V142" i="2"/>
  <c r="V130" i="2"/>
  <c r="V118" i="2"/>
  <c r="V106" i="2"/>
  <c r="V94" i="2"/>
  <c r="V82" i="2"/>
  <c r="V70" i="2"/>
  <c r="V58" i="2"/>
  <c r="V46" i="2"/>
  <c r="V34" i="2"/>
  <c r="V22" i="2"/>
  <c r="V10" i="2"/>
  <c r="V225" i="2"/>
  <c r="V213" i="2"/>
  <c r="V201" i="2"/>
  <c r="V189" i="2"/>
  <c r="V177" i="2"/>
  <c r="V165" i="2"/>
  <c r="V153" i="2"/>
  <c r="V141" i="2"/>
  <c r="V129" i="2"/>
  <c r="V117" i="2"/>
  <c r="V105" i="2"/>
  <c r="V93" i="2"/>
  <c r="V81" i="2"/>
  <c r="V69" i="2"/>
  <c r="V57" i="2"/>
  <c r="V45" i="2"/>
  <c r="V33" i="2"/>
  <c r="V21" i="2"/>
  <c r="V9" i="2"/>
  <c r="V224" i="2"/>
  <c r="V212" i="2"/>
  <c r="V200" i="2"/>
  <c r="V188" i="2"/>
  <c r="V176" i="2"/>
  <c r="V164" i="2"/>
  <c r="V152" i="2"/>
  <c r="V140" i="2"/>
  <c r="V128" i="2"/>
  <c r="V116" i="2"/>
  <c r="V104" i="2"/>
  <c r="V92" i="2"/>
  <c r="V80" i="2"/>
  <c r="V68" i="2"/>
  <c r="V56" i="2"/>
  <c r="V44" i="2"/>
  <c r="V32" i="2"/>
  <c r="V20" i="2"/>
  <c r="V8" i="2"/>
  <c r="V223" i="2"/>
  <c r="V211" i="2"/>
  <c r="V199" i="2"/>
  <c r="V187" i="2"/>
  <c r="V175" i="2"/>
  <c r="V163" i="2"/>
  <c r="V151" i="2"/>
  <c r="V139" i="2"/>
  <c r="V127" i="2"/>
  <c r="V115" i="2"/>
  <c r="V103" i="2"/>
  <c r="V91" i="2"/>
  <c r="V79" i="2"/>
  <c r="V67" i="2"/>
  <c r="V55" i="2"/>
  <c r="V43" i="2"/>
  <c r="V31" i="2"/>
  <c r="V19" i="2"/>
  <c r="V7" i="2"/>
  <c r="V222" i="2"/>
  <c r="V210" i="2"/>
  <c r="V198" i="2"/>
  <c r="V186" i="2"/>
  <c r="V174" i="2"/>
  <c r="V162" i="2"/>
  <c r="V150" i="2"/>
  <c r="V138" i="2"/>
  <c r="V126" i="2"/>
  <c r="V114" i="2"/>
  <c r="V102" i="2"/>
  <c r="V90" i="2"/>
  <c r="V78" i="2"/>
  <c r="V66" i="2"/>
  <c r="V54" i="2"/>
  <c r="V42" i="2"/>
  <c r="V30" i="2"/>
  <c r="V18" i="2"/>
  <c r="V6" i="2"/>
  <c r="V221" i="2"/>
  <c r="V209" i="2"/>
  <c r="V197" i="2"/>
  <c r="V185" i="2"/>
  <c r="V173" i="2"/>
  <c r="V161" i="2"/>
  <c r="V149" i="2"/>
  <c r="V137" i="2"/>
  <c r="V125" i="2"/>
  <c r="V113" i="2"/>
  <c r="V101" i="2"/>
  <c r="V89" i="2"/>
  <c r="V77" i="2"/>
  <c r="V65" i="2"/>
  <c r="V53" i="2"/>
  <c r="V41" i="2"/>
  <c r="V29" i="2"/>
  <c r="V17" i="2"/>
  <c r="V5" i="2"/>
  <c r="H6" i="11" l="1"/>
  <c r="H7" i="11"/>
  <c r="C5" i="12" s="1"/>
  <c r="AD134" i="2"/>
  <c r="AD12" i="2"/>
  <c r="AD63" i="2"/>
  <c r="AD68" i="2"/>
  <c r="AD51" i="2"/>
  <c r="AD173" i="2"/>
  <c r="AD187" i="2"/>
  <c r="AD56" i="2"/>
  <c r="AD34" i="2"/>
  <c r="AD146" i="2"/>
  <c r="AD41" i="2"/>
  <c r="AD30" i="2"/>
  <c r="AD55" i="2"/>
  <c r="AD199" i="2"/>
  <c r="AD46" i="2"/>
  <c r="AD190" i="2"/>
  <c r="AD158" i="2"/>
  <c r="AD219" i="2"/>
  <c r="AD197" i="2"/>
  <c r="AD186" i="2"/>
  <c r="AD80" i="2"/>
  <c r="AD170" i="2"/>
  <c r="AD4" i="2"/>
  <c r="AD54" i="2"/>
  <c r="AD79" i="2"/>
  <c r="AD92" i="2"/>
  <c r="AD153" i="2"/>
  <c r="AD121" i="2"/>
  <c r="AD182" i="2"/>
  <c r="AD16" i="2"/>
  <c r="AD66" i="2"/>
  <c r="AD82" i="2"/>
  <c r="AD226" i="2"/>
  <c r="AD117" i="2"/>
  <c r="AD178" i="2"/>
  <c r="AD24" i="2"/>
  <c r="AD50" i="2"/>
  <c r="AD78" i="2"/>
  <c r="AD222" i="2"/>
  <c r="AD129" i="2"/>
  <c r="AD207" i="2"/>
  <c r="AD62" i="2"/>
  <c r="AD189" i="2"/>
  <c r="AD106" i="2"/>
  <c r="AD90" i="2"/>
  <c r="AD143" i="2"/>
  <c r="AD74" i="2"/>
  <c r="AD218" i="2"/>
  <c r="AD135" i="2"/>
  <c r="AD52" i="2"/>
  <c r="AD196" i="2"/>
  <c r="AD113" i="2"/>
  <c r="AD124" i="2"/>
  <c r="AD102" i="2"/>
  <c r="AD123" i="2"/>
  <c r="AD127" i="2"/>
  <c r="AD38" i="2"/>
  <c r="AD140" i="2"/>
  <c r="AD57" i="2"/>
  <c r="AD201" i="2"/>
  <c r="AD118" i="2"/>
  <c r="AD96" i="2"/>
  <c r="AD25" i="2"/>
  <c r="AD169" i="2"/>
  <c r="AD144" i="2"/>
  <c r="AD93" i="2"/>
  <c r="AD198" i="2"/>
  <c r="AD209" i="2"/>
  <c r="AD119" i="2"/>
  <c r="AD86" i="2"/>
  <c r="AD3" i="2"/>
  <c r="AD147" i="2"/>
  <c r="AD64" i="2"/>
  <c r="AD208" i="2"/>
  <c r="AD125" i="2"/>
  <c r="AD112" i="2"/>
  <c r="AD114" i="2"/>
  <c r="AD111" i="2"/>
  <c r="AD139" i="2"/>
  <c r="AD8" i="2"/>
  <c r="AD152" i="2"/>
  <c r="AD213" i="2"/>
  <c r="AD130" i="2"/>
  <c r="AD191" i="2"/>
  <c r="AD37" i="2"/>
  <c r="AD181" i="2"/>
  <c r="AD195" i="2"/>
  <c r="AD18" i="2"/>
  <c r="AD200" i="2"/>
  <c r="AD85" i="2"/>
  <c r="AD14" i="2"/>
  <c r="AD136" i="2"/>
  <c r="AD42" i="2"/>
  <c r="AD211" i="2"/>
  <c r="AD141" i="2"/>
  <c r="AD156" i="2"/>
  <c r="AD77" i="2"/>
  <c r="AD210" i="2"/>
  <c r="AD165" i="2"/>
  <c r="AD43" i="2"/>
  <c r="AD194" i="2"/>
  <c r="AD103" i="2"/>
  <c r="AD116" i="2"/>
  <c r="AD145" i="2"/>
  <c r="AD192" i="2"/>
  <c r="AD177" i="2"/>
  <c r="AD172" i="2"/>
  <c r="AD115" i="2"/>
  <c r="AD45" i="2"/>
  <c r="AD84" i="2"/>
  <c r="AD60" i="2"/>
  <c r="AD185" i="2"/>
  <c r="AD107" i="2"/>
  <c r="AD98" i="2"/>
  <c r="AD15" i="2"/>
  <c r="AD159" i="2"/>
  <c r="AD76" i="2"/>
  <c r="AD220" i="2"/>
  <c r="AD137" i="2"/>
  <c r="AD40" i="2"/>
  <c r="AD20" i="2"/>
  <c r="AD164" i="2"/>
  <c r="AD142" i="2"/>
  <c r="AD193" i="2"/>
  <c r="AD87" i="2"/>
  <c r="AD223" i="2"/>
  <c r="AD99" i="2"/>
  <c r="AD221" i="2"/>
  <c r="AD104" i="2"/>
  <c r="AD35" i="2"/>
  <c r="AD36" i="2"/>
  <c r="AD70" i="2"/>
  <c r="AD180" i="2"/>
  <c r="AD204" i="2"/>
  <c r="AD89" i="2"/>
  <c r="AD174" i="2"/>
  <c r="AD101" i="2"/>
  <c r="AD27" i="2"/>
  <c r="AD171" i="2"/>
  <c r="AD88" i="2"/>
  <c r="AD5" i="2"/>
  <c r="AD149" i="2"/>
  <c r="AD28" i="2"/>
  <c r="AD19" i="2"/>
  <c r="AD163" i="2"/>
  <c r="AD176" i="2"/>
  <c r="AD154" i="2"/>
  <c r="AD162" i="2"/>
  <c r="AD95" i="2"/>
  <c r="AD2" i="2"/>
  <c r="AD212" i="2"/>
  <c r="AD168" i="2"/>
  <c r="AD75" i="2"/>
  <c r="AD53" i="2"/>
  <c r="AD224" i="2"/>
  <c r="AD58" i="2"/>
  <c r="AD202" i="2"/>
  <c r="AD109" i="2"/>
  <c r="AD67" i="2"/>
  <c r="AD26" i="2"/>
  <c r="AD148" i="2"/>
  <c r="AD9" i="2"/>
  <c r="AD48" i="2"/>
  <c r="AD160" i="2"/>
  <c r="AD97" i="2"/>
  <c r="AD216" i="2"/>
  <c r="AD155" i="2"/>
  <c r="AD65" i="2"/>
  <c r="AD23" i="2"/>
  <c r="AD122" i="2"/>
  <c r="AD39" i="2"/>
  <c r="AD183" i="2"/>
  <c r="AD100" i="2"/>
  <c r="AD17" i="2"/>
  <c r="AD161" i="2"/>
  <c r="AD6" i="2"/>
  <c r="AD150" i="2"/>
  <c r="AD44" i="2"/>
  <c r="AD188" i="2"/>
  <c r="AD105" i="2"/>
  <c r="AD10" i="2"/>
  <c r="AD217" i="2"/>
  <c r="C4" i="3" a="1"/>
  <c r="C4" i="3" s="1"/>
  <c r="C3" i="3" a="1"/>
  <c r="C3" i="3" s="1"/>
  <c r="B4" i="3"/>
  <c r="B3" i="3"/>
  <c r="Z62" i="2"/>
  <c r="Z206" i="2"/>
  <c r="Z202" i="2"/>
  <c r="Z226" i="2"/>
  <c r="Z116" i="2"/>
  <c r="Z35" i="2"/>
  <c r="Z135" i="2"/>
  <c r="Z118" i="2"/>
  <c r="Z96" i="2"/>
  <c r="Z31" i="2"/>
  <c r="Z103" i="2"/>
  <c r="Z50" i="2"/>
  <c r="Z194" i="2"/>
  <c r="Z41" i="2"/>
  <c r="Z69" i="2"/>
  <c r="Z213" i="2"/>
  <c r="Z179" i="2"/>
  <c r="Z102" i="2"/>
  <c r="Z37" i="2"/>
  <c r="Z181" i="2"/>
  <c r="Z200" i="2"/>
  <c r="Z112" i="2"/>
  <c r="Z9" i="2"/>
  <c r="Z147" i="2"/>
  <c r="Z142" i="2"/>
  <c r="Z36" i="2"/>
  <c r="Z180" i="2"/>
  <c r="Z187" i="2"/>
  <c r="Z124" i="2"/>
  <c r="Z44" i="2"/>
  <c r="Z82" i="2"/>
  <c r="Z63" i="2"/>
  <c r="Z207" i="2"/>
  <c r="Z24" i="2"/>
  <c r="Z168" i="2"/>
  <c r="Z175" i="2"/>
  <c r="Z122" i="2"/>
  <c r="Z100" i="2"/>
  <c r="Z221" i="2"/>
  <c r="Z141" i="2"/>
  <c r="Z130" i="2"/>
  <c r="Z30" i="2"/>
  <c r="Z174" i="2"/>
  <c r="Z109" i="2"/>
  <c r="Z56" i="2"/>
  <c r="Z128" i="2"/>
  <c r="Z53" i="2"/>
  <c r="Z75" i="2"/>
  <c r="Z219" i="2"/>
  <c r="Z191" i="2"/>
  <c r="Z108" i="2"/>
  <c r="Z43" i="2"/>
  <c r="Z115" i="2"/>
  <c r="Z134" i="2"/>
  <c r="Z188" i="2"/>
  <c r="Z203" i="2"/>
  <c r="Z161" i="2"/>
  <c r="Z184" i="2"/>
  <c r="Z3" i="2"/>
  <c r="Z153" i="2"/>
  <c r="Z42" i="2"/>
  <c r="Z68" i="2"/>
  <c r="Z212" i="2"/>
  <c r="Z15" i="2"/>
  <c r="Z159" i="2"/>
  <c r="Z166" i="2"/>
  <c r="Z4" i="2"/>
  <c r="Z120" i="2"/>
  <c r="Z55" i="2"/>
  <c r="Z199" i="2"/>
  <c r="Z74" i="2"/>
  <c r="Z146" i="2"/>
  <c r="Z148" i="2"/>
  <c r="Z95" i="2"/>
  <c r="Z21" i="2"/>
  <c r="Z93" i="2"/>
  <c r="Z165" i="2"/>
  <c r="Z28" i="2"/>
  <c r="Z178" i="2"/>
  <c r="Z10" i="2"/>
  <c r="Z54" i="2"/>
  <c r="Z126" i="2"/>
  <c r="Z198" i="2"/>
  <c r="Z61" i="2"/>
  <c r="Z133" i="2"/>
  <c r="Z59" i="2"/>
  <c r="Z152" i="2"/>
  <c r="Z224" i="2"/>
  <c r="Z107" i="2"/>
  <c r="Z99" i="2"/>
  <c r="Z40" i="2"/>
  <c r="Z5" i="2"/>
  <c r="Z132" i="2"/>
  <c r="Z67" i="2"/>
  <c r="Z217" i="2"/>
  <c r="Z14" i="2"/>
  <c r="Z158" i="2"/>
  <c r="Z172" i="2"/>
  <c r="Z33" i="2"/>
  <c r="Z177" i="2"/>
  <c r="Z52" i="2"/>
  <c r="Z11" i="2"/>
  <c r="Z138" i="2"/>
  <c r="Z145" i="2"/>
  <c r="Z89" i="2"/>
  <c r="Z20" i="2"/>
  <c r="Z92" i="2"/>
  <c r="Z164" i="2"/>
  <c r="Z34" i="2"/>
  <c r="Z196" i="2"/>
  <c r="Z137" i="2"/>
  <c r="Z39" i="2"/>
  <c r="Z111" i="2"/>
  <c r="Z183" i="2"/>
  <c r="Z64" i="2"/>
  <c r="Z220" i="2"/>
  <c r="Z12" i="2"/>
  <c r="Z72" i="2"/>
  <c r="Z144" i="2"/>
  <c r="Z216" i="2"/>
  <c r="Z79" i="2"/>
  <c r="Z151" i="2"/>
  <c r="Z7" i="2"/>
  <c r="Z101" i="2"/>
  <c r="Z26" i="2"/>
  <c r="Z98" i="2"/>
  <c r="Z170" i="2"/>
  <c r="Z46" i="2"/>
  <c r="Z214" i="2"/>
  <c r="Z149" i="2"/>
  <c r="Z45" i="2"/>
  <c r="Z117" i="2"/>
  <c r="Z189" i="2"/>
  <c r="Z76" i="2"/>
  <c r="Z71" i="2"/>
  <c r="Z211" i="2"/>
  <c r="Z78" i="2"/>
  <c r="Z150" i="2"/>
  <c r="Z222" i="2"/>
  <c r="Z85" i="2"/>
  <c r="Z157" i="2"/>
  <c r="Z13" i="2"/>
  <c r="Z113" i="2"/>
  <c r="Z65" i="2"/>
  <c r="Z81" i="2"/>
  <c r="Z225" i="2"/>
  <c r="Z154" i="2"/>
  <c r="Z209" i="2"/>
  <c r="Z114" i="2"/>
  <c r="Z186" i="2"/>
  <c r="Z49" i="2"/>
  <c r="Z121" i="2"/>
  <c r="Z193" i="2"/>
  <c r="Z23" i="2"/>
  <c r="Z140" i="2"/>
  <c r="Z136" i="2"/>
  <c r="Z83" i="2"/>
  <c r="Z87" i="2"/>
  <c r="Z22" i="2"/>
  <c r="Z48" i="2"/>
  <c r="Z192" i="2"/>
  <c r="Z127" i="2"/>
  <c r="Z47" i="2"/>
  <c r="Z218" i="2"/>
  <c r="Z205" i="2"/>
  <c r="Z2" i="2"/>
  <c r="Z80" i="2"/>
  <c r="Z160" i="2"/>
  <c r="Z27" i="2"/>
  <c r="Z171" i="2"/>
  <c r="Z190" i="2"/>
  <c r="Z60" i="2"/>
  <c r="Z204" i="2"/>
  <c r="Z139" i="2"/>
  <c r="Z77" i="2"/>
  <c r="Z86" i="2"/>
  <c r="Z16" i="2"/>
  <c r="Z119" i="2"/>
  <c r="Z105" i="2"/>
  <c r="Z208" i="2"/>
  <c r="Z66" i="2"/>
  <c r="Z210" i="2"/>
  <c r="Z73" i="2"/>
  <c r="Z223" i="2"/>
  <c r="Z32" i="2"/>
  <c r="Z104" i="2"/>
  <c r="Z176" i="2"/>
  <c r="Z58" i="2"/>
  <c r="Z17" i="2"/>
  <c r="Z167" i="2"/>
  <c r="Z51" i="2"/>
  <c r="Z123" i="2"/>
  <c r="Z195" i="2"/>
  <c r="Z88" i="2"/>
  <c r="Z125" i="2"/>
  <c r="Z6" i="2"/>
  <c r="Z84" i="2"/>
  <c r="Z156" i="2"/>
  <c r="Z19" i="2"/>
  <c r="Z91" i="2"/>
  <c r="Z163" i="2"/>
  <c r="Z8" i="2"/>
  <c r="Z131" i="2"/>
  <c r="Z38" i="2"/>
  <c r="Z110" i="2"/>
  <c r="Z182" i="2"/>
  <c r="Z70" i="2"/>
  <c r="Z29" i="2"/>
  <c r="Z185" i="2"/>
  <c r="Z57" i="2"/>
  <c r="Z129" i="2"/>
  <c r="Z201" i="2"/>
  <c r="Z106" i="2"/>
  <c r="Z143" i="2"/>
  <c r="Z18" i="2"/>
  <c r="Z90" i="2"/>
  <c r="Z162" i="2"/>
  <c r="Z25" i="2"/>
  <c r="Z97" i="2"/>
  <c r="Z169" i="2"/>
  <c r="Z94" i="2"/>
  <c r="Z155" i="2"/>
  <c r="Z173" i="2"/>
  <c r="Z197" i="2"/>
  <c r="Z215" i="2"/>
  <c r="H8" i="11" l="1"/>
  <c r="E5" i="12" s="1"/>
  <c r="C6" i="3" a="1"/>
  <c r="C6" i="3" s="1"/>
  <c r="B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86B2B3-D302-4ED0-A9BD-6A8E3DF1A9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EC196A4-AE34-4245-9C2C-19CC3C3E2108}" name="WorksheetConnection_Assignment Data_ NPS Tracker_2025.xlsx!NPS_Data" type="102" refreshedVersion="8" minRefreshableVersion="5">
    <extLst>
      <ext xmlns:x15="http://schemas.microsoft.com/office/spreadsheetml/2010/11/main" uri="{DE250136-89BD-433C-8126-D09CA5730AF9}">
        <x15:connection id="NPS_Data" autoDelete="1">
          <x15:rangePr sourceName="_xlcn.WorksheetConnection_AssignmentData_NPSTracker_2025.xlsxNPS_Data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<sst xmlns="http://schemas.openxmlformats.org/spreadsheetml/2006/main" count="7464" uniqueCount="1599">
  <si>
    <t>Ticket No</t>
  </si>
  <si>
    <t>Created Date</t>
  </si>
  <si>
    <t>Created Time</t>
  </si>
  <si>
    <t>Assigned To</t>
  </si>
  <si>
    <t>Resolved Date</t>
  </si>
  <si>
    <t>Resolved Time</t>
  </si>
  <si>
    <t>Landing Folder</t>
  </si>
  <si>
    <t>Disposition Folder Level 1</t>
  </si>
  <si>
    <t>Disposition Folder Level 2</t>
  </si>
  <si>
    <t>Phone</t>
  </si>
  <si>
    <t>Email</t>
  </si>
  <si>
    <t>Ticket All Remarks</t>
  </si>
  <si>
    <t>Program Name</t>
  </si>
  <si>
    <t>Issue 2 - NPS</t>
  </si>
  <si>
    <t>NPS Rating</t>
  </si>
  <si>
    <t>Status</t>
  </si>
  <si>
    <t>Sub Status</t>
  </si>
  <si>
    <t>75591735734</t>
  </si>
  <si>
    <t>2025-08-23</t>
  </si>
  <si>
    <t>18:16:02</t>
  </si>
  <si>
    <t>Mike Chen</t>
  </si>
  <si>
    <t>2025-08-30</t>
  </si>
  <si>
    <t>17:21:01</t>
  </si>
  <si>
    <t>Counselling Team - NPS</t>
  </si>
  <si>
    <t>Tech (NPS)</t>
  </si>
  <si>
    <t>9562254028</t>
  </si>
  <si>
    <t>learner001@example.com</t>
  </si>
  <si>
    <t>No code review feedback provided for assignments. Submitting working solutions but don't know if following best practices or industry standards. || Resolution: Introduced mandatory code review sessions with senior developers</t>
  </si>
  <si>
    <t>Academy</t>
  </si>
  <si>
    <t>Projects &amp; Assignment Related Concern (NPS)</t>
  </si>
  <si>
    <t>Complete</t>
  </si>
  <si>
    <t>Solved</t>
  </si>
  <si>
    <t>75958260221</t>
  </si>
  <si>
    <t>2025-09-02</t>
  </si>
  <si>
    <t>17:43:46</t>
  </si>
  <si>
    <t>David Wilson</t>
  </si>
  <si>
    <t>2025-09-12</t>
  </si>
  <si>
    <t>12:16:02</t>
  </si>
  <si>
    <t>Program &amp; Classroom (NPS)</t>
  </si>
  <si>
    <t>8564319318</t>
  </si>
  <si>
    <t>learner002@example.com</t>
  </si>
  <si>
    <t>DSML</t>
  </si>
  <si>
    <t>75838508549</t>
  </si>
  <si>
    <t>14:25:44</t>
  </si>
  <si>
    <t>Lisa Rodriguez</t>
  </si>
  <si>
    <t>9381183483</t>
  </si>
  <si>
    <t>learner003@example.com</t>
  </si>
  <si>
    <t>Assignment datasets have data quality issues but no guidance on how to handle missing values, outliers, or inconsistent formats professionally. || Resolution: Created data cleaning tutorial series and best practices documentation</t>
  </si>
  <si>
    <t>DevOps</t>
  </si>
  <si>
    <t>Pending</t>
  </si>
  <si>
    <t>In Progress</t>
  </si>
  <si>
    <t>75988343096</t>
  </si>
  <si>
    <t>2025-09-13</t>
  </si>
  <si>
    <t>09:19:18</t>
  </si>
  <si>
    <t>2025-09-16</t>
  </si>
  <si>
    <t>18:36:19</t>
  </si>
  <si>
    <t>Others (NPS)</t>
  </si>
  <si>
    <t>8846355528</t>
  </si>
  <si>
    <t>learner004@example.com</t>
  </si>
  <si>
    <t>Live sessions scheduled during US client calls for IT professionals. 2-6 PM IST overlaps with standup meetings and client presentations. Need flexible timing. || Resolution: Added recorded session options and weekend makeup classes</t>
  </si>
  <si>
    <t>Time Management Related Concerns (NPS)</t>
  </si>
  <si>
    <t>75500273738</t>
  </si>
  <si>
    <t>12:43:19</t>
  </si>
  <si>
    <t>2025-09-21</t>
  </si>
  <si>
    <t>11:42:05</t>
  </si>
  <si>
    <t>7855256552</t>
  </si>
  <si>
    <t>learner005@example.com</t>
  </si>
  <si>
    <t>Told course would take 6 months but curriculum actually requires 10+ months for completion. Time commitment significantly underestimated. || Resolution: Updated course duration estimates and provided realistic timeline planning</t>
  </si>
  <si>
    <t>False Promise By Sales Team (NPS)</t>
  </si>
  <si>
    <t>75930833445</t>
  </si>
  <si>
    <t>15:15:09</t>
  </si>
  <si>
    <t>Sarah Johnson</t>
  </si>
  <si>
    <t>2025-09-10</t>
  </si>
  <si>
    <t>18:12:45</t>
  </si>
  <si>
    <t>7457788949</t>
  </si>
  <si>
    <t>learner006@example.com</t>
  </si>
  <si>
    <t>Morning Academy Jul25 Intermediate (9 AM - 12 PM) conflicts with Infosys office hours. Requested evening transfer 5 times over 2 months but no response from counseling team. || Resolution: Immediately transferred to 7-10 PM evening Academy Jul25 Intermediate with same instructor</t>
  </si>
  <si>
    <t>75543171768</t>
  </si>
  <si>
    <t>2025-09-03</t>
  </si>
  <si>
    <t>16:42:33</t>
  </si>
  <si>
    <t>Rohit Gupta</t>
  </si>
  <si>
    <t>12:58:54</t>
  </si>
  <si>
    <t>9557448229</t>
  </si>
  <si>
    <t>learner007@example.com</t>
  </si>
  <si>
    <t>75570894498</t>
  </si>
  <si>
    <t>2025-08-28</t>
  </si>
  <si>
    <t>20:55:30</t>
  </si>
  <si>
    <t>Carlos Martinez</t>
  </si>
  <si>
    <t>Placement (NPS)</t>
  </si>
  <si>
    <t>8113219231</t>
  </si>
  <si>
    <t>learner008@example.com</t>
  </si>
  <si>
    <t>Considering career break for higher studies (MS abroad). Need advice on timing, university selection, and maintaining professional network during studies. || Resolution: Provided comprehensive higher education guidance and alumni connections</t>
  </si>
  <si>
    <t>Looking For Career Guidance (NPS)</t>
  </si>
  <si>
    <t>75691751878</t>
  </si>
  <si>
    <t>2025-09-01</t>
  </si>
  <si>
    <t>14:20:57</t>
  </si>
  <si>
    <t>2025-09-06</t>
  </si>
  <si>
    <t>16:04:45</t>
  </si>
  <si>
    <t>7346078411</t>
  </si>
  <si>
    <t>learner009@example.com</t>
  </si>
  <si>
    <t>Sales promised 100% job guarantee within 6 months but placement team says no such commitment exists. Feel misled about course outcomes. || Resolution: Clarified placement support terms and provided additional career assistance</t>
  </si>
  <si>
    <t>75846434187</t>
  </si>
  <si>
    <t>2025-09-15</t>
  </si>
  <si>
    <t>09:13:53</t>
  </si>
  <si>
    <t>Jessica Kim</t>
  </si>
  <si>
    <t>2025-09-22</t>
  </si>
  <si>
    <t>15:21:34</t>
  </si>
  <si>
    <t>8672790155</t>
  </si>
  <si>
    <t>learner010@example.com</t>
  </si>
  <si>
    <t>DevOps AIML Jul25 has 220+ students making doubt sessions chaotic. Individual questions take 15+ minutes to address. Class extends to 4+ hours regularly. || Resolution: Split into 2 parallel AIML Jul25es and assigned dedicated TA support</t>
  </si>
  <si>
    <t>75977909930</t>
  </si>
  <si>
    <t>2025-08-01</t>
  </si>
  <si>
    <t>20:47:34</t>
  </si>
  <si>
    <t>Sneha Reddy</t>
  </si>
  <si>
    <t>7947206476</t>
  </si>
  <si>
    <t>learner011@example.com</t>
  </si>
  <si>
    <t>Awaiting Action - Learner</t>
  </si>
  <si>
    <t>75537039296</t>
  </si>
  <si>
    <t>2025-08-02</t>
  </si>
  <si>
    <t>18:34:01</t>
  </si>
  <si>
    <t>2025-08-13</t>
  </si>
  <si>
    <t>15:46:10</t>
  </si>
  <si>
    <t>9542160120</t>
  </si>
  <si>
    <t>learner012@example.com</t>
  </si>
  <si>
    <t>Multiple TAs provide conflicting solutions for same problem. Creates confusion about best practices and correct approach for implementation. || Resolution: Implemented TA training program and standardized solution guidelines</t>
  </si>
  <si>
    <t>TA Support Related Concerns (NPS)</t>
  </si>
  <si>
    <t>75679340713</t>
  </si>
  <si>
    <t>2025-08-09</t>
  </si>
  <si>
    <t>15:20:13</t>
  </si>
  <si>
    <t>8403792057</t>
  </si>
  <si>
    <t>learner013@example.com</t>
  </si>
  <si>
    <t>Placement eligibility criteria require 70%+ in graduation but scored 68% due to family financial crisis during college. Seems unfair exclusion. || Resolution: Reviewed eligibility criteria and created exception process for genuine hardship cases</t>
  </si>
  <si>
    <t>Not eligible for placements (NPS)</t>
  </si>
  <si>
    <t>Awaiting Action - Scaler</t>
  </si>
  <si>
    <t>75979196799</t>
  </si>
  <si>
    <t>2025-08-17</t>
  </si>
  <si>
    <t>09:22:14</t>
  </si>
  <si>
    <t>9799264931</t>
  </si>
  <si>
    <t>learner014@example.com</t>
  </si>
  <si>
    <t>Interested in international opportunities but confused about visa processes, skill requirements, and cultural preparation for US/Canada markets. || Resolution: Connected with professionals who successfully relocated internationally</t>
  </si>
  <si>
    <t>75675139575</t>
  </si>
  <si>
    <t>2025-08-16</t>
  </si>
  <si>
    <t>14:10:38</t>
  </si>
  <si>
    <t>2025-08-27</t>
  </si>
  <si>
    <t>10:36:13</t>
  </si>
  <si>
    <t>7491914923</t>
  </si>
  <si>
    <t>learner015@example.com</t>
  </si>
  <si>
    <t>Instructor David Wilson Rajesh Kumar in AIML Jul25 AIML Jul25 explains neural networks too fast. Yesterday's backpropagation session covered complex mathematics in 20 minutes without examples. When students ask questions, he just says 'check the slides'. Need detailed mathematical walkthrough. || Resolution: Arranged additional math tutorial sessions with TA support</t>
  </si>
  <si>
    <t>Instructor Related Feedback (NPS)</t>
  </si>
  <si>
    <t>75612954978</t>
  </si>
  <si>
    <t>10:37:44</t>
  </si>
  <si>
    <t>7437662764</t>
  </si>
  <si>
    <t>learner016@example.com</t>
  </si>
  <si>
    <t>75413585139</t>
  </si>
  <si>
    <t>15:52:31</t>
  </si>
  <si>
    <t>14:04:32</t>
  </si>
  <si>
    <t>learner017@example.com</t>
  </si>
  <si>
    <t>Evening Academy Jul25 Beginner starts at 7 PM when dinner time with family. Work-life balance getting affected due to late learning schedule. || Resolution: Introduced early evening slots (6-8 PM) based on demand</t>
  </si>
  <si>
    <t>Unhappy With The Class Timings (NPS)</t>
  </si>
  <si>
    <t>75899154414</t>
  </si>
  <si>
    <t>15:52:46</t>
  </si>
  <si>
    <t>2025-09-27</t>
  </si>
  <si>
    <t>13:39:51</t>
  </si>
  <si>
    <t>8152750071</t>
  </si>
  <si>
    <t>learner018@example.com</t>
  </si>
  <si>
    <t>75761203124</t>
  </si>
  <si>
    <t>09:31:54</t>
  </si>
  <si>
    <t>Amit Patel</t>
  </si>
  <si>
    <t>7780996231</t>
  </si>
  <si>
    <t>learner019@example.com</t>
  </si>
  <si>
    <t>Planning to relocate from Bangalore to Pune for family reasons. Unclear about job market, salary differences, and Google options in Pune tech scene. || Resolution: Connected with local Pune-based mentors and provided market insights</t>
  </si>
  <si>
    <t>75491926217</t>
  </si>
  <si>
    <t>2025-08-22</t>
  </si>
  <si>
    <t>12:46:26</t>
  </si>
  <si>
    <t>13:35:00</t>
  </si>
  <si>
    <t>9384463652</t>
  </si>
  <si>
    <t>learner020@example.com</t>
  </si>
  <si>
    <t>AIML</t>
  </si>
  <si>
    <t>75728786222</t>
  </si>
  <si>
    <t>19:37:23</t>
  </si>
  <si>
    <t>10:18:14</t>
  </si>
  <si>
    <t>9377148230</t>
  </si>
  <si>
    <t>learner021@example.com</t>
  </si>
  <si>
    <t>75529553265</t>
  </si>
  <si>
    <t>20:12:20</t>
  </si>
  <si>
    <t>13:19:16</t>
  </si>
  <si>
    <t>9301518177</t>
  </si>
  <si>
    <t>learner022@example.com</t>
  </si>
  <si>
    <t>Multiple interview rounds cleared but final selection goes to internal referrals. External candidates seem disadvantaged despite equal performance. || Resolution: Expanded alumni network for referral opportunities and insider advocacy</t>
  </si>
  <si>
    <t>Applied for jobs but no satisfactory outcome (NPS)</t>
  </si>
  <si>
    <t>75718092217</t>
  </si>
  <si>
    <t>2025-08-31</t>
  </si>
  <si>
    <t>12:23:11</t>
  </si>
  <si>
    <t>17:38:18</t>
  </si>
  <si>
    <t>7060766757</t>
  </si>
  <si>
    <t>learner023@example.com</t>
  </si>
  <si>
    <t>75510152642</t>
  </si>
  <si>
    <t>2025-09-14</t>
  </si>
  <si>
    <t>09:36:18</t>
  </si>
  <si>
    <t>9056061866</t>
  </si>
  <si>
    <t>learner024@example.com</t>
  </si>
  <si>
    <t>Weekend DevOps Jul25 timing (10 AM - 2 PM) conflicts with family time. Children's activities and household responsibilities suffer due to class schedule. || Resolution: Created flexible weekend options with shorter session formats</t>
  </si>
  <si>
    <t>75562915636</t>
  </si>
  <si>
    <t>11:51:36</t>
  </si>
  <si>
    <t>15:31:04</t>
  </si>
  <si>
    <t>7365849190</t>
  </si>
  <si>
    <t>learner025@example.com</t>
  </si>
  <si>
    <t>Language barrier with some TAs makes doubt sessions ineffective. Accent and communication style difficult to understand during technical explanations. || Resolution: Provided communication training and paired TAs with complementary strengths</t>
  </si>
  <si>
    <t>75875368059</t>
  </si>
  <si>
    <t>2025-09-08</t>
  </si>
  <si>
    <t>13:55:37</t>
  </si>
  <si>
    <t>2025-09-18</t>
  </si>
  <si>
    <t>12:49:33</t>
  </si>
  <si>
    <t>8311598149</t>
  </si>
  <si>
    <t>learner026@example.com</t>
  </si>
  <si>
    <t>Mentor Amit Patel provides only generic advice like 'practice more coding'. Asked specific questions about Google interview process but got template responses. || Resolution: Connected with mentor who recently joined FAANG Uber</t>
  </si>
  <si>
    <t>Mentor Support Related Concerns (NPS)</t>
  </si>
  <si>
    <t>75657553274</t>
  </si>
  <si>
    <t>11:35:04</t>
  </si>
  <si>
    <t>Priya Sharma</t>
  </si>
  <si>
    <t>13:42:05</t>
  </si>
  <si>
    <t>7011492154</t>
  </si>
  <si>
    <t>learner027@example.com</t>
  </si>
  <si>
    <t>75650636897</t>
  </si>
  <si>
    <t>2025-08-03</t>
  </si>
  <si>
    <t>13:50:50</t>
  </si>
  <si>
    <t>2025-08-15</t>
  </si>
  <si>
    <t>13:44:55</t>
  </si>
  <si>
    <t>9839759520</t>
  </si>
  <si>
    <t>learner028@example.com</t>
  </si>
  <si>
    <t>Real-time project deployment challenges not addressed in curriculum. Local development works but AWS deployment fails with configuration issues. || Resolution: Created deployment workshop series with hands-on troubleshooting</t>
  </si>
  <si>
    <t>75709893263</t>
  </si>
  <si>
    <t>16:07:29</t>
  </si>
  <si>
    <t>2025-08-20</t>
  </si>
  <si>
    <t>11:04:03</t>
  </si>
  <si>
    <t>8728760924</t>
  </si>
  <si>
    <t>learner029@example.com</t>
  </si>
  <si>
    <t>75668830491</t>
  </si>
  <si>
    <t>09:05:14</t>
  </si>
  <si>
    <t>9521673791</t>
  </si>
  <si>
    <t>learner030@example.com</t>
  </si>
  <si>
    <t>Overqualified for junior positions, underqualified for senior roles. 6 years in different domain creates positioning challenge for appropriate level targeting. || Resolution: Developed targeted application strategy for career pivot roles</t>
  </si>
  <si>
    <t>Frequent Resume Rejection (NPS)</t>
  </si>
  <si>
    <t>75927986559</t>
  </si>
  <si>
    <t>10:30:22</t>
  </si>
  <si>
    <t>13:11:37</t>
  </si>
  <si>
    <t>8431548670</t>
  </si>
  <si>
    <t>learner031@example.com</t>
  </si>
  <si>
    <t>Mike Wilson uses outdated examples in Machine Learning classes. Still teaching scikit-learn 0.22 syntax when industry uses 1.3+. Students struggle with modern ML libraries. || Resolution: Updated all code examples to latest library versions</t>
  </si>
  <si>
    <t>75888365604</t>
  </si>
  <si>
    <t>10:20:16</t>
  </si>
  <si>
    <t>7497879474</t>
  </si>
  <si>
    <t>learner032@example.com</t>
  </si>
  <si>
    <t>Want to transition from service-based to product companies but don't understand cultural and technical differences. Need guidance on preparation strategy. || Resolution: Connected with mentor who made similar transition and provided Amazon-specific prep</t>
  </si>
  <si>
    <t>75455417727</t>
  </si>
  <si>
    <t>2025-09-04</t>
  </si>
  <si>
    <t>12:17:35</t>
  </si>
  <si>
    <t>2025-09-05</t>
  </si>
  <si>
    <t>12:33:23</t>
  </si>
  <si>
    <t>8237075775</t>
  </si>
  <si>
    <t>learner033@example.com</t>
  </si>
  <si>
    <t>75733665422</t>
  </si>
  <si>
    <t>17:00:35</t>
  </si>
  <si>
    <t>7400330495</t>
  </si>
  <si>
    <t>learner034@example.com</t>
  </si>
  <si>
    <t>No specialized TA support for advanced topics like deep learning, cloud architecture, or system design. Generic responses for complex domain questions. || Resolution: Hired subject matter expert TAs for specialized technical support</t>
  </si>
  <si>
    <t>75918079974</t>
  </si>
  <si>
    <t>2025-08-10</t>
  </si>
  <si>
    <t>16:15:29</t>
  </si>
  <si>
    <t>13:32:45</t>
  </si>
  <si>
    <t>7621232513</t>
  </si>
  <si>
    <t>learner035@example.com</t>
  </si>
  <si>
    <t>Mentor Amit Patel provides only generic advice like 'practice more coding'. Asked specific questions about Google interview process but got template responses. || Resolution: Connected with mentor who recently joined FAANG TCS</t>
  </si>
  <si>
    <t>75945179180</t>
  </si>
  <si>
    <t>13:52:00</t>
  </si>
  <si>
    <t>8282287615</t>
  </si>
  <si>
    <t>learner036@example.com</t>
  </si>
  <si>
    <t>Python assignment auto-grading system has bugs. Correct solutions marked wrong due to output formatting differences. Frustrating when code logic is perfect. || Resolution: Fixed grading system and manually reviewed affected submissions</t>
  </si>
  <si>
    <t>75602563940</t>
  </si>
  <si>
    <t>20:15:36</t>
  </si>
  <si>
    <t>2025-09-09</t>
  </si>
  <si>
    <t>17:24:29</t>
  </si>
  <si>
    <t>8003143045</t>
  </si>
  <si>
    <t>learner037@example.com</t>
  </si>
  <si>
    <t>Lecture slides contain only bullet points without detailed explanations. Need comprehensive notes for exam preparation and interview revision. || Resolution: Enhanced slides with detailed explanations and examples</t>
  </si>
  <si>
    <t>Lecture Notes Related (NPS)</t>
  </si>
  <si>
    <t>75931855083</t>
  </si>
  <si>
    <t>09:08:32</t>
  </si>
  <si>
    <t>2025-09-07</t>
  </si>
  <si>
    <t>15:42:50</t>
  </si>
  <si>
    <t>8425906387</t>
  </si>
  <si>
    <t>learner038@example.com</t>
  </si>
  <si>
    <t>75480346223</t>
  </si>
  <si>
    <t>16:50:16</t>
  </si>
  <si>
    <t>15:55:41</t>
  </si>
  <si>
    <t>9676878743</t>
  </si>
  <si>
    <t>learner039@example.com</t>
  </si>
  <si>
    <t>No downloadable notes provided for complex topics. Difficult to review mathematical formulas and algorithms without written reference material. || Resolution: Created comprehensive downloadable study guides for all modules</t>
  </si>
  <si>
    <t>75652082631</t>
  </si>
  <si>
    <t>2025-08-21</t>
  </si>
  <si>
    <t>19:43:58</t>
  </si>
  <si>
    <t>2025-08-29</t>
  </si>
  <si>
    <t>17:02:39</t>
  </si>
  <si>
    <t>7977046129</t>
  </si>
  <si>
    <t>learner040@example.com</t>
  </si>
  <si>
    <t>Evening DSML Jul25 starts at 7 PM when dinner time with family. Work-life balance getting affected due to late learning schedule. || Resolution: Introduced early evening slots (6-8 PM) based on demand</t>
  </si>
  <si>
    <t>75715001254</t>
  </si>
  <si>
    <t>14:23:27</t>
  </si>
  <si>
    <t>09:02:20</t>
  </si>
  <si>
    <t>8048819999</t>
  </si>
  <si>
    <t>learner041@example.com</t>
  </si>
  <si>
    <t>Weekend Academy Jul25 Intermediate timing (10 AM - 2 PM) conflicts with family time. Children's activities and household responsibilities suffer due to class schedule. || Resolution: Created flexible weekend options with shorter session formats</t>
  </si>
  <si>
    <t>75934366139</t>
  </si>
  <si>
    <t>2025-08-11</t>
  </si>
  <si>
    <t>18:09:14</t>
  </si>
  <si>
    <t>15:39:43</t>
  </si>
  <si>
    <t>9739779525</t>
  </si>
  <si>
    <t>learner042@example.com</t>
  </si>
  <si>
    <t>Contract/freelance offers available but seeking permanent positions with benefits and job security. Market seems tilted toward gig work. || Resolution: Targeted BYJU'S outreach focusing on full-time opportunity pipeline</t>
  </si>
  <si>
    <t>75771048258</t>
  </si>
  <si>
    <t>18:19:40</t>
  </si>
  <si>
    <t>2025-09-26</t>
  </si>
  <si>
    <t>17:10:04</t>
  </si>
  <si>
    <t>9964873967</t>
  </si>
  <si>
    <t>learner043@example.com</t>
  </si>
  <si>
    <t>75717001612</t>
  </si>
  <si>
    <t>09:53:42</t>
  </si>
  <si>
    <t>18:22:36</t>
  </si>
  <si>
    <t>8178884276</t>
  </si>
  <si>
    <t>learner044@example.com</t>
  </si>
  <si>
    <t>75635154329</t>
  </si>
  <si>
    <t>2025-09-19</t>
  </si>
  <si>
    <t>19:12:39</t>
  </si>
  <si>
    <t>9910976189</t>
  </si>
  <si>
    <t>learner045@example.com</t>
  </si>
  <si>
    <t>Instructor Nina Patel Rajesh Kumar in AIML Jul25 DevOps Jul25 explains neural networks too fast. Yesterday's backpropagation session covered complex mathematics in 20 minutes without examples. When students ask questions, he just says 'check the slides'. Need detailed mathematical walkthrough. || Resolution: Arranged additional math tutorial sessions with TA support</t>
  </si>
  <si>
    <t>75716872439</t>
  </si>
  <si>
    <t>14:47:26</t>
  </si>
  <si>
    <t>09:37:23</t>
  </si>
  <si>
    <t>7862407093</t>
  </si>
  <si>
    <t>learner046@example.com</t>
  </si>
  <si>
    <t>75523662532</t>
  </si>
  <si>
    <t>16:04:09</t>
  </si>
  <si>
    <t>2025-08-19</t>
  </si>
  <si>
    <t>13:47:55</t>
  </si>
  <si>
    <t>learner047@example.com</t>
  </si>
  <si>
    <t>Assignment deadlines clash with office project deliveries. Given 3 major assignments during typical sprint planning weeks. Need better coordination. || Resolution: Staggered assignment deadlines and provided extension options</t>
  </si>
  <si>
    <t>75809123009</t>
  </si>
  <si>
    <t>19:23:06</t>
  </si>
  <si>
    <t>16:23:43</t>
  </si>
  <si>
    <t>9024977737</t>
  </si>
  <si>
    <t>learner048@example.com</t>
  </si>
  <si>
    <t>75838404342</t>
  </si>
  <si>
    <t>10:08:02</t>
  </si>
  <si>
    <t>8307235909</t>
  </si>
  <si>
    <t>learner049@example.com</t>
  </si>
  <si>
    <t>Lisa Rodriguez speaks too softly during System Design sessions. Students in back rows can't hear database scaling explanations. Room acoustics poor for 150+ student Academy Jul25 Intermediate. || Resolution: Upgraded classroom sound system and reduced Academy Jul25 Intermediate size</t>
  </si>
  <si>
    <t>75845478870</t>
  </si>
  <si>
    <t>19:06:53</t>
  </si>
  <si>
    <t>17:26:37</t>
  </si>
  <si>
    <t>9644206129</t>
  </si>
  <si>
    <t>learner050@example.com</t>
  </si>
  <si>
    <t>Teaching Assistant lacks depth in advanced topics. Can help with basic syntax but struggles with algorithm optimization and complexity analysis questions. || Resolution: Assigned senior TA with computer science background for advanced topic support</t>
  </si>
  <si>
    <t>75465015165</t>
  </si>
  <si>
    <t>2025-08-14</t>
  </si>
  <si>
    <t>15:17:12</t>
  </si>
  <si>
    <t>2025-08-18</t>
  </si>
  <si>
    <t>14:06:43</t>
  </si>
  <si>
    <t>8952996248</t>
  </si>
  <si>
    <t>learner051@example.com</t>
  </si>
  <si>
    <t>Project complexity too high for time allocated. Expected to build full e-commerce site in 2 weeks while learning React simultaneously. Unrealistic expectations. || Resolution: Redesigned project scope and extended timeline with milestone-based approach</t>
  </si>
  <si>
    <t>75631875999</t>
  </si>
  <si>
    <t>2025-09-20</t>
  </si>
  <si>
    <t>12:21:49</t>
  </si>
  <si>
    <t>2025-09-23</t>
  </si>
  <si>
    <t>18:13:04</t>
  </si>
  <si>
    <t>9559721644</t>
  </si>
  <si>
    <t>learner052@example.com</t>
  </si>
  <si>
    <t>Machine Learning module lacks MLOps content. No coverage of model deployment, monitoring, or A/B testing. Industry expects end-to-end ML pipeline knowledge. || Resolution: Adding MLOps specialization track with hands-on deployment projects</t>
  </si>
  <si>
    <t>Unhappy With Course Curriculum (NPS)</t>
  </si>
  <si>
    <t>75541522640</t>
  </si>
  <si>
    <t>09:22:50</t>
  </si>
  <si>
    <t>9529104043</t>
  </si>
  <si>
    <t>learner053@example.com</t>
  </si>
  <si>
    <t>75881331845</t>
  </si>
  <si>
    <t>14:32:37</t>
  </si>
  <si>
    <t>10:47:04</t>
  </si>
  <si>
    <t>8941348507</t>
  </si>
  <si>
    <t>learner054@example.com</t>
  </si>
  <si>
    <t>Confused between Data Science and Machine Learning Engineer paths. Course covers both but unclear about day-to-day responsibilities and career progression in each field. || Resolution: Arranged informational interviews with professionals in both roles</t>
  </si>
  <si>
    <t>75891819409</t>
  </si>
  <si>
    <t>19:01:03</t>
  </si>
  <si>
    <t>8724932977</t>
  </si>
  <si>
    <t>learner055@example.com</t>
  </si>
  <si>
    <t>Interview performance good but companies prefer candidates with production experience. Theoretical knowledge not translating to confidence in interviews. || Resolution: Created mock production environment projects for hands-on experience</t>
  </si>
  <si>
    <t>75535497187</t>
  </si>
  <si>
    <t>2025-08-05</t>
  </si>
  <si>
    <t>13:39:40</t>
  </si>
  <si>
    <t>9355172948</t>
  </si>
  <si>
    <t>learner056@example.com</t>
  </si>
  <si>
    <t>75991991695</t>
  </si>
  <si>
    <t>20:55:13</t>
  </si>
  <si>
    <t>10:50:44</t>
  </si>
  <si>
    <t>8939413575</t>
  </si>
  <si>
    <t>learner057@example.com</t>
  </si>
  <si>
    <t>Evening DevOps Jul25 starts at 7 PM when dinner time with family. Work-life balance getting affected due to late learning schedule. || Resolution: Introduced early evening slots (6-8 PM) based on demand</t>
  </si>
  <si>
    <t>75563894795</t>
  </si>
  <si>
    <t>19:59:30</t>
  </si>
  <si>
    <t>15:20:42</t>
  </si>
  <si>
    <t>7391807468</t>
  </si>
  <si>
    <t>learner058@example.com</t>
  </si>
  <si>
    <t>Resume feedback too generic. Mentor suggests 'add more projects' without specific guidance on what types of projects or how to showcase impact. || Resolution: Provided mentor training on detailed resume optimization techniques</t>
  </si>
  <si>
    <t>75531244840</t>
  </si>
  <si>
    <t>2025-09-17</t>
  </si>
  <si>
    <t>15:22:55</t>
  </si>
  <si>
    <t>17:03:37</t>
  </si>
  <si>
    <t>7220959215</t>
  </si>
  <si>
    <t>learner059@example.com</t>
  </si>
  <si>
    <t>75775932035</t>
  </si>
  <si>
    <t>17:23:07</t>
  </si>
  <si>
    <t>16:14:54</t>
  </si>
  <si>
    <t>9465740756</t>
  </si>
  <si>
    <t>learner060@example.com</t>
  </si>
  <si>
    <t>Resume format doesn't work for startup applications. Too formal for young companies, but changing format affects ATS performance at large corporations. || Resolution: Created dual resume strategy for different TCS types</t>
  </si>
  <si>
    <t>75593720285</t>
  </si>
  <si>
    <t>13:44:48</t>
  </si>
  <si>
    <t>09:38:59</t>
  </si>
  <si>
    <t>8459535801</t>
  </si>
  <si>
    <t>learner061@example.com</t>
  </si>
  <si>
    <t>75803935666</t>
  </si>
  <si>
    <t>15:29:21</t>
  </si>
  <si>
    <t>09:05:47</t>
  </si>
  <si>
    <t>8589365925</t>
  </si>
  <si>
    <t>learner062@example.com</t>
  </si>
  <si>
    <t>75875788930</t>
  </si>
  <si>
    <t>2025-08-04</t>
  </si>
  <si>
    <t>19:27:31</t>
  </si>
  <si>
    <t>8898565319</t>
  </si>
  <si>
    <t>learner063@example.com</t>
  </si>
  <si>
    <t>Career gap of 18 months for personal reasons creating red flags. Recruiters question commitment and skill currency despite recent course completion. || Resolution: Developed gap explanation strategy and skill demonstration projects</t>
  </si>
  <si>
    <t>75448766522</t>
  </si>
  <si>
    <t>2025-08-08</t>
  </si>
  <si>
    <t>12:25:38</t>
  </si>
  <si>
    <t>13:43:43</t>
  </si>
  <si>
    <t>7033015788</t>
  </si>
  <si>
    <t>learner064@example.com</t>
  </si>
  <si>
    <t>75538712095</t>
  </si>
  <si>
    <t>15:34:45</t>
  </si>
  <si>
    <t>2025-09-24</t>
  </si>
  <si>
    <t>10:00:31</t>
  </si>
  <si>
    <t>9148610411</t>
  </si>
  <si>
    <t>learner065@example.com</t>
  </si>
  <si>
    <t>Career guidance sessions focus only on technical skills. No discussion about salary negotiation, Uber culture fit, or work-life balance considerations. || Resolution: Introduced holistic career coaching covering all professional aspects</t>
  </si>
  <si>
    <t>75834245762</t>
  </si>
  <si>
    <t>20:40:26</t>
  </si>
  <si>
    <t>10:55:20</t>
  </si>
  <si>
    <t>7494665880</t>
  </si>
  <si>
    <t>learner066@example.com</t>
  </si>
  <si>
    <t>75513669678</t>
  </si>
  <si>
    <t>12:27:37</t>
  </si>
  <si>
    <t>9250402001</t>
  </si>
  <si>
    <t>learner067@example.com</t>
  </si>
  <si>
    <t>Capstone project requirements unclear and keep changing. Initially asked for web app, then data analysis, now ML model. Wasted 3 weeks on wrong direction. || Resolution: Standardized project requirements and assigned dedicated project coordinator</t>
  </si>
  <si>
    <t>75969732591</t>
  </si>
  <si>
    <t>17:12:57</t>
  </si>
  <si>
    <t>10:32:40</t>
  </si>
  <si>
    <t>8507961865</t>
  </si>
  <si>
    <t>learner068@example.com</t>
  </si>
  <si>
    <t>Full Stack development track doesn't cover modern React patterns like hooks, context, or Next.js. Still teaching class components from React 16. || Resolution: Complete overhaul of React curriculum to cover React 18 features</t>
  </si>
  <si>
    <t>75898165815</t>
  </si>
  <si>
    <t>18:48:37</t>
  </si>
  <si>
    <t>10:11:49</t>
  </si>
  <si>
    <t>9925445989</t>
  </si>
  <si>
    <t>learner069@example.com</t>
  </si>
  <si>
    <t>75777895080</t>
  </si>
  <si>
    <t>17:04:19</t>
  </si>
  <si>
    <t>13:50:17</t>
  </si>
  <si>
    <t>8940955281</t>
  </si>
  <si>
    <t>learner070@example.com</t>
  </si>
  <si>
    <t>Placement support limited to specific tech stacks learned in course. Want to explore adjacent technologies but placement team won't help. || Resolution: Expanded placement support to cover related MongoDB transitions</t>
  </si>
  <si>
    <t>75882897882</t>
  </si>
  <si>
    <t>18:41:12</t>
  </si>
  <si>
    <t>16:37:35</t>
  </si>
  <si>
    <t>9598480273</t>
  </si>
  <si>
    <t>learner071@example.com</t>
  </si>
  <si>
    <t>Instructor Mike Rodriguez Rajesh Kumar in AIML Jul25 Academy Jul25 Intermediate explains neural networks too fast. Yesterday's backpropagation session covered complex mathematics in 20 minutes without examples. When students ask questions, he just says 'check the slides'. Need detailed mathematical walkthrough. || Resolution: Arranged additional math tutorial sessions with TA support</t>
  </si>
  <si>
    <t>75941755366</t>
  </si>
  <si>
    <t>19:11:02</t>
  </si>
  <si>
    <t>8880157459</t>
  </si>
  <si>
    <t>learner072@example.com</t>
  </si>
  <si>
    <t>TA support only available during office hours. Working professionals need evening and weekend support for assignment debugging and concept clarification. || Resolution: Extended TA support hours to include evenings and Saturday coverage</t>
  </si>
  <si>
    <t>75470772317</t>
  </si>
  <si>
    <t>2025-08-25</t>
  </si>
  <si>
    <t>14:06:35</t>
  </si>
  <si>
    <t>18:03:50</t>
  </si>
  <si>
    <t>8220401982</t>
  </si>
  <si>
    <t>learner073@example.com</t>
  </si>
  <si>
    <t>75538460786</t>
  </si>
  <si>
    <t>18:45:05</t>
  </si>
  <si>
    <t>13:41:44</t>
  </si>
  <si>
    <t>9400552009</t>
  </si>
  <si>
    <t>learner074@example.com</t>
  </si>
  <si>
    <t>Resume highlighting DSML completion not attracting ML Engineer positions. Only getting data entry or analyst roles below skill level and salary expectations. || Resolution: Added ML portfolio projects and technical blog writing to demonstrate expertise</t>
  </si>
  <si>
    <t>75945985356</t>
  </si>
  <si>
    <t>14:01:23</t>
  </si>
  <si>
    <t>7774223342</t>
  </si>
  <si>
    <t>learner075@example.com</t>
  </si>
  <si>
    <t>75540712839</t>
  </si>
  <si>
    <t>18:24:09</t>
  </si>
  <si>
    <t>7776727492</t>
  </si>
  <si>
    <t>learner076@example.com</t>
  </si>
  <si>
    <t>Mentor scheduling conflicts with work hours. Only available 11 AM - 2 PM when I'm in office meetings. Need evening or weekend availability. || Resolution: Matched with mentor having flexible evening availability</t>
  </si>
  <si>
    <t>75651258749</t>
  </si>
  <si>
    <t>2025-08-24</t>
  </si>
  <si>
    <t>17:15:19</t>
  </si>
  <si>
    <t>7833293142</t>
  </si>
  <si>
    <t>learner077@example.com</t>
  </si>
  <si>
    <t>75548604290</t>
  </si>
  <si>
    <t>13:03:41</t>
  </si>
  <si>
    <t>2025-09-28</t>
  </si>
  <si>
    <t>15:10:52</t>
  </si>
  <si>
    <t>8594343845</t>
  </si>
  <si>
    <t>learner078@example.com</t>
  </si>
  <si>
    <t>75951208305</t>
  </si>
  <si>
    <t>2025-08-06</t>
  </si>
  <si>
    <t>11:53:27</t>
  </si>
  <si>
    <t>7953645978</t>
  </si>
  <si>
    <t>learner079@example.com</t>
  </si>
  <si>
    <t>Getting interview calls but salary offers 40% below market rate. Companies lowball citing 'career change' despite strong technical performance. || Resolution: Provided salary negotiation training and market benchmarking data</t>
  </si>
  <si>
    <t>75641096660</t>
  </si>
  <si>
    <t>09:20:59</t>
  </si>
  <si>
    <t>12:24:05</t>
  </si>
  <si>
    <t>9791559885</t>
  </si>
  <si>
    <t>learner080@example.com</t>
  </si>
  <si>
    <t>75485068029</t>
  </si>
  <si>
    <t>09:16:13</t>
  </si>
  <si>
    <t>16:28:39</t>
  </si>
  <si>
    <t>9357096258</t>
  </si>
  <si>
    <t>learner081@example.com</t>
  </si>
  <si>
    <t>Interested in startup environment but concerned about job security with family responsibilities. Need advice on evaluating startup opportunities vs established companies. || Resolution: Conducted detailed career counseling session on risk assessment and planning</t>
  </si>
  <si>
    <t>75467438668</t>
  </si>
  <si>
    <t>10:53:57</t>
  </si>
  <si>
    <t>15:40:50</t>
  </si>
  <si>
    <t>9562974666</t>
  </si>
  <si>
    <t>learner082@example.com</t>
  </si>
  <si>
    <t>Evening AIML Aug25 starts at 7 PM when dinner time with family. Work-life balance getting affected due to late learning schedule. || Resolution: Introduced early evening slots (6-8 PM) based on demand</t>
  </si>
  <si>
    <t>75847286055</t>
  </si>
  <si>
    <t>11:42:42</t>
  </si>
  <si>
    <t>09:39:22</t>
  </si>
  <si>
    <t>9248349034</t>
  </si>
  <si>
    <t>learner083@example.com</t>
  </si>
  <si>
    <t>Appearing for interviews but consistently failing in system design rounds. Completed course but still struggle with scalability and architecture questions. || Resolution: Arranged advanced system design workshops with industry architects</t>
  </si>
  <si>
    <t>75819246503</t>
  </si>
  <si>
    <t>16:02:40</t>
  </si>
  <si>
    <t>8603321558</t>
  </si>
  <si>
    <t>learner084@example.com</t>
  </si>
  <si>
    <t>Want to transition from service-based to product companies but don't understand cultural and technical differences. Need guidance on preparation strategy. || Resolution: Connected with mentor who made similar transition and provided Zomato-specific prep</t>
  </si>
  <si>
    <t>75543247463</t>
  </si>
  <si>
    <t>09:22:34</t>
  </si>
  <si>
    <t>10:49:37</t>
  </si>
  <si>
    <t>9760786161</t>
  </si>
  <si>
    <t>learner085@example.com</t>
  </si>
  <si>
    <t>Applied to 67 Data Science positions in 3 months but only 4 interview calls. Resume seems to fail ATS screening despite following Scaler format guidelines. || Resolution: Connected with placement team for ATS optimization and keyword analysis</t>
  </si>
  <si>
    <t>75614179101</t>
  </si>
  <si>
    <t>09:18:12</t>
  </si>
  <si>
    <t>9213555655</t>
  </si>
  <si>
    <t>learner086@example.com</t>
  </si>
  <si>
    <t>Holiday classes scheduled during Diwali week without considering festival commitments. Attendance drops to 30% affecting AIML Jul25 momentum. || Resolution: Rescheduled holiday periods and created festival-friendly calendar</t>
  </si>
  <si>
    <t>75829520110</t>
  </si>
  <si>
    <t>20:28:57</t>
  </si>
  <si>
    <t>14:17:07</t>
  </si>
  <si>
    <t>8456151216</t>
  </si>
  <si>
    <t>learner087@example.com</t>
  </si>
  <si>
    <t>75985698675</t>
  </si>
  <si>
    <t>13:20:06</t>
  </si>
  <si>
    <t>10:27:38</t>
  </si>
  <si>
    <t>8408405265</t>
  </si>
  <si>
    <t>learner088@example.com</t>
  </si>
  <si>
    <t>Holiday classes scheduled during Diwali week without considering festival commitments. Attendance drops to 30% affecting DevOps Jul25 momentum. || Resolution: Rescheduled holiday periods and created festival-friendly calendar</t>
  </si>
  <si>
    <t>75778557676</t>
  </si>
  <si>
    <t>18:27:17</t>
  </si>
  <si>
    <t>16:22:28</t>
  </si>
  <si>
    <t>7322299355</t>
  </si>
  <si>
    <t>learner089@example.com</t>
  </si>
  <si>
    <t>Audio-video sync issues during recorded playback. Instructor Lisa Chen's voice doesn't match lip movement by 2-3 seconds. Distracting during learning. || Resolution: Fixed encoding pipeline and re-processed affected recordings</t>
  </si>
  <si>
    <t>Poor Class video quality (NPS)</t>
  </si>
  <si>
    <t>75437365109</t>
  </si>
  <si>
    <t>11:04:15</t>
  </si>
  <si>
    <t>11:54:38</t>
  </si>
  <si>
    <t>8555424924</t>
  </si>
  <si>
    <t>learner090@example.com</t>
  </si>
  <si>
    <t>Audio-video sync issues during recorded playback. Instructor Mike Rodriguez's voice doesn't match lip movement by 2-3 seconds. Distracting during learning. || Resolution: Fixed encoding pipeline and re-processed affected recordings</t>
  </si>
  <si>
    <t>75547848992</t>
  </si>
  <si>
    <t>17:23:25</t>
  </si>
  <si>
    <t>learner091@example.com</t>
  </si>
  <si>
    <t>75879182105</t>
  </si>
  <si>
    <t>2025-08-12</t>
  </si>
  <si>
    <t>12:39:18</t>
  </si>
  <si>
    <t>17:07:16</t>
  </si>
  <si>
    <t>7859759428</t>
  </si>
  <si>
    <t>learner092@example.com</t>
  </si>
  <si>
    <t>Applied to 43 DevOps positions but recruiters say experience looks theoretical. Need real production environment projects to demonstrate practical skills. || Resolution: Arranged internship-style capstone project with live infrastructure</t>
  </si>
  <si>
    <t>75990554938</t>
  </si>
  <si>
    <t>17:18:57</t>
  </si>
  <si>
    <t>14:42:22</t>
  </si>
  <si>
    <t>7676479877</t>
  </si>
  <si>
    <t>learner093@example.com</t>
  </si>
  <si>
    <t>System Design course only teaches monolithic patterns. Microservices, event-driven architecture, and serverless barely mentioned. Need cloud-native design patterns. || Resolution: Expanding curriculum with 40 hours of distributed systems content</t>
  </si>
  <si>
    <t>75428222260</t>
  </si>
  <si>
    <t>14:35:36</t>
  </si>
  <si>
    <t>9007492791</t>
  </si>
  <si>
    <t>learner094@example.com</t>
  </si>
  <si>
    <t>75534568604</t>
  </si>
  <si>
    <t>14:41:04</t>
  </si>
  <si>
    <t>16:33:26</t>
  </si>
  <si>
    <t>9000738353</t>
  </si>
  <si>
    <t>learner095@example.com</t>
  </si>
  <si>
    <t>75533316990</t>
  </si>
  <si>
    <t>17:09:19</t>
  </si>
  <si>
    <t>15:32:58</t>
  </si>
  <si>
    <t>7695642802</t>
  </si>
  <si>
    <t>learner096@example.com</t>
  </si>
  <si>
    <t>Audio-video sync issues during recorded playback. Instructor Priya Patel's voice doesn't match lip movement by 2-3 seconds. Distracting during learning. || Resolution: Fixed encoding pipeline and re-processed affected recordings</t>
  </si>
  <si>
    <t>75972817675</t>
  </si>
  <si>
    <t>10:32:41</t>
  </si>
  <si>
    <t>17:17:08</t>
  </si>
  <si>
    <t>9541797909</t>
  </si>
  <si>
    <t>learner097@example.com</t>
  </si>
  <si>
    <t>Planning to relocate from Bangalore to Pune for family reasons. Unclear about job market, salary differences, and Zomato options in Pune tech scene. || Resolution: Connected with local Pune-based mentors and provided market insights</t>
  </si>
  <si>
    <t>75430465806</t>
  </si>
  <si>
    <t>10:02:41</t>
  </si>
  <si>
    <t>8136688451</t>
  </si>
  <si>
    <t>learner098@example.com</t>
  </si>
  <si>
    <t>Placement team requires 2+ years experience but won't help freshers. Catch-22 situation where experience needed for placement but placement needed for experience. || Resolution: Launched fresh graduate placement track with entry-level focused companies</t>
  </si>
  <si>
    <t>75918558050</t>
  </si>
  <si>
    <t>12:51:51</t>
  </si>
  <si>
    <t>17:18:41</t>
  </si>
  <si>
    <t>8277468755</t>
  </si>
  <si>
    <t>learner099@example.com</t>
  </si>
  <si>
    <t>Screen sharing resolution too low during coding sessions. Can't read code examples on mobile device. Zoom compression makes text blurry. || Resolution: Upgraded streaming quality to 1080p and optimized for mobile viewing</t>
  </si>
  <si>
    <t>75742863363</t>
  </si>
  <si>
    <t>20:55:22</t>
  </si>
  <si>
    <t>14:38:09</t>
  </si>
  <si>
    <t>7561636336</t>
  </si>
  <si>
    <t>learner100@example.com</t>
  </si>
  <si>
    <t>75454337019</t>
  </si>
  <si>
    <t>13:24:55</t>
  </si>
  <si>
    <t>13:28:15</t>
  </si>
  <si>
    <t>8795875043</t>
  </si>
  <si>
    <t>learner101@example.com</t>
  </si>
  <si>
    <t>75934047267</t>
  </si>
  <si>
    <t>09:05:25</t>
  </si>
  <si>
    <t>16:32:29</t>
  </si>
  <si>
    <t>8963790638</t>
  </si>
  <si>
    <t>learner102@example.com</t>
  </si>
  <si>
    <t>Weekly mentor sessions rushed and superficial. Last call was 8 minutes discussing 6-month career roadmap. Need dedicated time for meaningful guidance. || Resolution: Increased minimum session duration to 30 minutes with structured agenda</t>
  </si>
  <si>
    <t>75862705171</t>
  </si>
  <si>
    <t>11:56:16</t>
  </si>
  <si>
    <t>8731963069</t>
  </si>
  <si>
    <t>learner103@example.com</t>
  </si>
  <si>
    <t>Mentor doesn't understand non-tech background. As commerce graduate transitioning to data science, need someone who understands career pivot challenges. || Resolution: Assigned mentor with similar career transition background</t>
  </si>
  <si>
    <t>75990404558</t>
  </si>
  <si>
    <t>13:52:39</t>
  </si>
  <si>
    <t>13:04:24</t>
  </si>
  <si>
    <t>7510289448</t>
  </si>
  <si>
    <t>learner104@example.com</t>
  </si>
  <si>
    <t>75946666136</t>
  </si>
  <si>
    <t>15:32:02</t>
  </si>
  <si>
    <t>7167134213</t>
  </si>
  <si>
    <t>learner105@example.com</t>
  </si>
  <si>
    <t>Weekend AIML sessions run 5 hours straight (10 AM - 3 PM) without proper breaks. Exhausting for working parents with family commitments on weekends. || Resolution: Restructured to 3-hour sessions with 30-minute breaks every 90 minutes</t>
  </si>
  <si>
    <t>75574485243</t>
  </si>
  <si>
    <t>15:39:47</t>
  </si>
  <si>
    <t>11:20:59</t>
  </si>
  <si>
    <t>9550027973</t>
  </si>
  <si>
    <t>learner106@example.com</t>
  </si>
  <si>
    <t>75428612164</t>
  </si>
  <si>
    <t>18:30:16</t>
  </si>
  <si>
    <t>10:26:37</t>
  </si>
  <si>
    <t>9480920839</t>
  </si>
  <si>
    <t>learner107@example.com</t>
  </si>
  <si>
    <t>75517999418</t>
  </si>
  <si>
    <t>12:01:28</t>
  </si>
  <si>
    <t>15:09:52</t>
  </si>
  <si>
    <t>8798647685</t>
  </si>
  <si>
    <t>learner108@example.com</t>
  </si>
  <si>
    <t>Assigned mentor Priya Sharma unresponsive to career queries for 3+ weeks. Sent 7 messages about transitioning from manual testing to automation but zero replies. || Resolution: Reassigned to senior automation mentor and implemented response time SLA</t>
  </si>
  <si>
    <t>75749019278</t>
  </si>
  <si>
    <t>19:30:33</t>
  </si>
  <si>
    <t>09:45:08</t>
  </si>
  <si>
    <t>8347557120</t>
  </si>
  <si>
    <t>learner109@example.com</t>
  </si>
  <si>
    <t>Mentor calls scheduled during lunch hours (1-2 PM) when most professionals are in meetings. Need evening or early morning slots. || Resolution: Extended mentor availability to 7-9 PM weekday slots</t>
  </si>
  <si>
    <t>75919884429</t>
  </si>
  <si>
    <t>12:15:17</t>
  </si>
  <si>
    <t>8282044148</t>
  </si>
  <si>
    <t>learner110@example.com</t>
  </si>
  <si>
    <t>Holiday classes scheduled during Diwali week without considering festival commitments. Attendance drops to 30% affecting DevOps Aug25 momentum. || Resolution: Rescheduled holiday periods and created festival-friendly calendar</t>
  </si>
  <si>
    <t>75530861323</t>
  </si>
  <si>
    <t>18:43:34</t>
  </si>
  <si>
    <t>16:22:35</t>
  </si>
  <si>
    <t>8694503971</t>
  </si>
  <si>
    <t>learner111@example.com</t>
  </si>
  <si>
    <t>Career guidance sessions focus only on technical skills. No discussion about salary negotiation, Ola culture fit, or work-life balance considerations. || Resolution: Introduced holistic career coaching covering all professional aspects</t>
  </si>
  <si>
    <t>75874997731</t>
  </si>
  <si>
    <t>19:16:47</t>
  </si>
  <si>
    <t>7919066362</t>
  </si>
  <si>
    <t>learner112@example.com</t>
  </si>
  <si>
    <t>75650006353</t>
  </si>
  <si>
    <t>09:06:26</t>
  </si>
  <si>
    <t>9028959334</t>
  </si>
  <si>
    <t>learner113@example.com</t>
  </si>
  <si>
    <t>75744851196</t>
  </si>
  <si>
    <t>13:41:03</t>
  </si>
  <si>
    <t>16:41:12</t>
  </si>
  <si>
    <t>9801601713</t>
  </si>
  <si>
    <t>learner114@example.com</t>
  </si>
  <si>
    <t>75588751681</t>
  </si>
  <si>
    <t>09:53:25</t>
  </si>
  <si>
    <t>7800202342</t>
  </si>
  <si>
    <t>learner115@example.com</t>
  </si>
  <si>
    <t>Previous employment gap of 3 years due to child care responsibilities creates placement barrier. Returning mothers face additional discrimination. || Resolution: Partnered with diversity-focused companies supporting career restart initiatives</t>
  </si>
  <si>
    <t>75941394238</t>
  </si>
  <si>
    <t>16:17:12</t>
  </si>
  <si>
    <t>17:33:31</t>
  </si>
  <si>
    <t>8420277403</t>
  </si>
  <si>
    <t>learner116@example.com</t>
  </si>
  <si>
    <t>Evening Academy Jul25 Intermediate starts at 7 PM when dinner time with family. Work-life balance getting affected due to late learning schedule. || Resolution: Introduced early evening slots (6-8 PM) based on demand</t>
  </si>
  <si>
    <t>75588436227</t>
  </si>
  <si>
    <t>18:54:40</t>
  </si>
  <si>
    <t>18:43:48</t>
  </si>
  <si>
    <t>8836971472</t>
  </si>
  <si>
    <t>learner117@example.com</t>
  </si>
  <si>
    <t>Holiday classes scheduled during Diwali week without considering festival commitments. Attendance drops to 30% affecting Academy Jul25 Beginner momentum. || Resolution: Rescheduled holiday periods and created festival-friendly calendar</t>
  </si>
  <si>
    <t>75407333788</t>
  </si>
  <si>
    <t>2025-08-07</t>
  </si>
  <si>
    <t>13:24:15</t>
  </si>
  <si>
    <t>16:20:59</t>
  </si>
  <si>
    <t>8146731886</t>
  </si>
  <si>
    <t>learner118@example.com</t>
  </si>
  <si>
    <t>75899714064</t>
  </si>
  <si>
    <t>13:10:25</t>
  </si>
  <si>
    <t>8335640103</t>
  </si>
  <si>
    <t>learner119@example.com</t>
  </si>
  <si>
    <t>Considering freelancing transition after 8 years in corporate. Need guidance on building client base, pricing projects, and managing business aspects. || Resolution: Introduced to successful freelancer mentor and provided business setup guidance</t>
  </si>
  <si>
    <t>75888529624</t>
  </si>
  <si>
    <t>20:38:23</t>
  </si>
  <si>
    <t>9358944233</t>
  </si>
  <si>
    <t>learner120@example.com</t>
  </si>
  <si>
    <t>Weekend AIML Aug25 timing (10 AM - 2 PM) conflicts with family time. Children's activities and household responsibilities suffer due to class schedule. || Resolution: Created flexible weekend options with shorter session formats</t>
  </si>
  <si>
    <t>75520483278</t>
  </si>
  <si>
    <t>09:53:35</t>
  </si>
  <si>
    <t>17:45:23</t>
  </si>
  <si>
    <t>7868256753</t>
  </si>
  <si>
    <t>learner121@example.com</t>
  </si>
  <si>
    <t>75459738492</t>
  </si>
  <si>
    <t>16:08:32</t>
  </si>
  <si>
    <t>18:31:05</t>
  </si>
  <si>
    <t>8961934510</t>
  </si>
  <si>
    <t>learner122@example.com</t>
  </si>
  <si>
    <t>75633969748</t>
  </si>
  <si>
    <t>18:04:02</t>
  </si>
  <si>
    <t>15:16:52</t>
  </si>
  <si>
    <t>8479740208</t>
  </si>
  <si>
    <t>learner123@example.com</t>
  </si>
  <si>
    <t>75802074351</t>
  </si>
  <si>
    <t>15:28:55</t>
  </si>
  <si>
    <t>11:49:41</t>
  </si>
  <si>
    <t>8613385303</t>
  </si>
  <si>
    <t>learner124@example.com</t>
  </si>
  <si>
    <t>Weekend DSML Aug25 timing (10 AM - 2 PM) conflicts with family time. Children's activities and household responsibilities suffer due to class schedule. || Resolution: Created flexible weekend options with shorter session formats</t>
  </si>
  <si>
    <t>75720364823</t>
  </si>
  <si>
    <t>16:43:46</t>
  </si>
  <si>
    <t>12:53:00</t>
  </si>
  <si>
    <t>8821616017</t>
  </si>
  <si>
    <t>learner125@example.com</t>
  </si>
  <si>
    <t>75416799547</t>
  </si>
  <si>
    <t>12:13:04</t>
  </si>
  <si>
    <t>10:02:51</t>
  </si>
  <si>
    <t>9550970716</t>
  </si>
  <si>
    <t>learner126@example.com</t>
  </si>
  <si>
    <t>Contract/freelance offers available but seeking permanent positions with benefits and job security. Market seems tilted toward gig work. || Resolution: Targeted Microsoft outreach focusing on full-time opportunity pipeline</t>
  </si>
  <si>
    <t>75460606325</t>
  </si>
  <si>
    <t>11:32:18</t>
  </si>
  <si>
    <t>15:28:14</t>
  </si>
  <si>
    <t>9474375067</t>
  </si>
  <si>
    <t>learner127@example.com</t>
  </si>
  <si>
    <t>Teaching pace in Data Structures class is inconsistent. Some days covers 3 algorithms, other days struggles with basic concepts. No structured lesson planning visible. || Resolution: Introduced standardized lesson plans with time allocations</t>
  </si>
  <si>
    <t>75858703133</t>
  </si>
  <si>
    <t>17:31:03</t>
  </si>
  <si>
    <t>13:17:03</t>
  </si>
  <si>
    <t>9763021449</t>
  </si>
  <si>
    <t>learner128@example.com</t>
  </si>
  <si>
    <t>Want to pursue management track vs staying technical. Currently team lead but unsure about MBA requirements and career progression options. || Resolution: Arranged sessions with both technical architects and engineering managers</t>
  </si>
  <si>
    <t>75658737619</t>
  </si>
  <si>
    <t>12:19:54</t>
  </si>
  <si>
    <t>15:11:48</t>
  </si>
  <si>
    <t>8988677919</t>
  </si>
  <si>
    <t>learner129@example.com</t>
  </si>
  <si>
    <t>Audio-video sync issues during recorded playback. Instructor Ravi Sharma's voice doesn't match lip movement by 2-3 seconds. Distracting during learning. || Resolution: Fixed encoding pipeline and re-processed affected recordings</t>
  </si>
  <si>
    <t>75882954920</t>
  </si>
  <si>
    <t>14:05:34</t>
  </si>
  <si>
    <t>12:21:41</t>
  </si>
  <si>
    <t>7221348142</t>
  </si>
  <si>
    <t>learner130@example.com</t>
  </si>
  <si>
    <t>Instructor Amit Gupta Amit Gupta doesn't prepare well for classes. Frequently says 'I'll get back to you' for basic SQL queries. Students lose confidence in course quality. || Resolution: Implemented mandatory instructor preparation reviews</t>
  </si>
  <si>
    <t>75757517705</t>
  </si>
  <si>
    <t>13:58:00</t>
  </si>
  <si>
    <t>17:13:30</t>
  </si>
  <si>
    <t>7816145550</t>
  </si>
  <si>
    <t>learner131@example.com</t>
  </si>
  <si>
    <t>Transitioning from mechanical engineering to software development. Resume lacks relevant projects and recruiters doubt career change authenticity. || Resolution: Created transition portfolio with domain-crossover projects</t>
  </si>
  <si>
    <t>75703932500</t>
  </si>
  <si>
    <t>2025-08-26</t>
  </si>
  <si>
    <t>15:29:34</t>
  </si>
  <si>
    <t>8324663629</t>
  </si>
  <si>
    <t>learner132@example.com</t>
  </si>
  <si>
    <t>75743847870</t>
  </si>
  <si>
    <t>12:23:20</t>
  </si>
  <si>
    <t>7196346343</t>
  </si>
  <si>
    <t>learner133@example.com</t>
  </si>
  <si>
    <t>75716960306</t>
  </si>
  <si>
    <t>11:12:21</t>
  </si>
  <si>
    <t>8631399401</t>
  </si>
  <si>
    <t>learner134@example.com</t>
  </si>
  <si>
    <t>75581747678</t>
  </si>
  <si>
    <t>11:46:34</t>
  </si>
  <si>
    <t>16:29:10</t>
  </si>
  <si>
    <t>7790479137</t>
  </si>
  <si>
    <t>learner135@example.com</t>
  </si>
  <si>
    <t>75472980019</t>
  </si>
  <si>
    <t>20:09:00</t>
  </si>
  <si>
    <t>15:08:53</t>
  </si>
  <si>
    <t>learner136@example.com</t>
  </si>
  <si>
    <t>75416891857</t>
  </si>
  <si>
    <t>09:34:35</t>
  </si>
  <si>
    <t>7050899550</t>
  </si>
  <si>
    <t>learner137@example.com</t>
  </si>
  <si>
    <t>75592486308</t>
  </si>
  <si>
    <t>10:58:06</t>
  </si>
  <si>
    <t>7639509845</t>
  </si>
  <si>
    <t>learner138@example.com</t>
  </si>
  <si>
    <t>75642512383</t>
  </si>
  <si>
    <t>13:43:52</t>
  </si>
  <si>
    <t>10:23:25</t>
  </si>
  <si>
    <t>9807773530</t>
  </si>
  <si>
    <t>learner139@example.com</t>
  </si>
  <si>
    <t>75936718857</t>
  </si>
  <si>
    <t>15:41:50</t>
  </si>
  <si>
    <t>09:44:10</t>
  </si>
  <si>
    <t>9430335702</t>
  </si>
  <si>
    <t>learner140@example.com</t>
  </si>
  <si>
    <t>75691086098</t>
  </si>
  <si>
    <t>09:59:04</t>
  </si>
  <si>
    <t>9332299091</t>
  </si>
  <si>
    <t>learner141@example.com</t>
  </si>
  <si>
    <t>75574429624</t>
  </si>
  <si>
    <t>18:15:36</t>
  </si>
  <si>
    <t>15:59:04</t>
  </si>
  <si>
    <t>9907843037</t>
  </si>
  <si>
    <t>learner142@example.com</t>
  </si>
  <si>
    <t>75937722224</t>
  </si>
  <si>
    <t>20:22:03</t>
  </si>
  <si>
    <t>8877279755</t>
  </si>
  <si>
    <t>learner143@example.com</t>
  </si>
  <si>
    <t>75644961731</t>
  </si>
  <si>
    <t>14:35:24</t>
  </si>
  <si>
    <t>09:40:17</t>
  </si>
  <si>
    <t>7797737957</t>
  </si>
  <si>
    <t>learner144@example.com</t>
  </si>
  <si>
    <t>Mentor Amit Patel provides only generic advice like 'practice more coding'. Asked specific questions about Google interview process but got template responses. || Resolution: Connected with mentor who recently joined FAANG PayTM</t>
  </si>
  <si>
    <t>75488087644</t>
  </si>
  <si>
    <t>13:09:24</t>
  </si>
  <si>
    <t>8673413661</t>
  </si>
  <si>
    <t>learner145@example.com</t>
  </si>
  <si>
    <t>Audio-video sync issues during recorded playback. Instructor Sarah Johnson's voice doesn't match lip movement by 2-3 seconds. Distracting during learning. || Resolution: Fixed encoding pipeline and re-processed affected recordings</t>
  </si>
  <si>
    <t>75862760731</t>
  </si>
  <si>
    <t>16:35:35</t>
  </si>
  <si>
    <t>10:08:05</t>
  </si>
  <si>
    <t>8752536389</t>
  </si>
  <si>
    <t>learner146@example.com</t>
  </si>
  <si>
    <t>75816396603</t>
  </si>
  <si>
    <t>10:46:57</t>
  </si>
  <si>
    <t>15:00:18</t>
  </si>
  <si>
    <t>8042571199</t>
  </si>
  <si>
    <t>learner147@example.com</t>
  </si>
  <si>
    <t>DSML curriculum still uses Pandas 1.3 when industry standard is 2.1+. Modern data manipulation techniques like polars not covered. Outdated for current job requirements. || Resolution: Curriculum team updating all library versions and adding modern tools</t>
  </si>
  <si>
    <t>75696311802</t>
  </si>
  <si>
    <t>15:19:30</t>
  </si>
  <si>
    <t>11:04:10</t>
  </si>
  <si>
    <t>8551019709</t>
  </si>
  <si>
    <t>learner148@example.com</t>
  </si>
  <si>
    <t>75807903732</t>
  </si>
  <si>
    <t>14:28:21</t>
  </si>
  <si>
    <t>13:00:25</t>
  </si>
  <si>
    <t>9796181989</t>
  </si>
  <si>
    <t>learner149@example.com</t>
  </si>
  <si>
    <t>75927215082</t>
  </si>
  <si>
    <t>18:50:15</t>
  </si>
  <si>
    <t>11:25:20</t>
  </si>
  <si>
    <t>8615145225</t>
  </si>
  <si>
    <t>learner150@example.com</t>
  </si>
  <si>
    <t>75895663087</t>
  </si>
  <si>
    <t>20:13:28</t>
  </si>
  <si>
    <t>11:43:49</t>
  </si>
  <si>
    <t>9975704877</t>
  </si>
  <si>
    <t>learner151@example.com</t>
  </si>
  <si>
    <t>75479419456</t>
  </si>
  <si>
    <t>16:38:30</t>
  </si>
  <si>
    <t>11:45:27</t>
  </si>
  <si>
    <t>8721444792</t>
  </si>
  <si>
    <t>learner152@example.com</t>
  </si>
  <si>
    <t>75517434526</t>
  </si>
  <si>
    <t>12:42:42</t>
  </si>
  <si>
    <t>7714418371</t>
  </si>
  <si>
    <t>learner153@example.com</t>
  </si>
  <si>
    <t>Contract/freelance offers available but seeking permanent positions with benefits and job security. Market seems tilted toward gig work. || Resolution: Targeted Infosys outreach focusing on full-time opportunity pipeline</t>
  </si>
  <si>
    <t>75677818215</t>
  </si>
  <si>
    <t>2025-09-11</t>
  </si>
  <si>
    <t>12:32:47</t>
  </si>
  <si>
    <t>15:06:00</t>
  </si>
  <si>
    <t>9396563469</t>
  </si>
  <si>
    <t>learner154@example.com</t>
  </si>
  <si>
    <t>75770405910</t>
  </si>
  <si>
    <t>09:30:06</t>
  </si>
  <si>
    <t>8786600854</t>
  </si>
  <si>
    <t>learner155@example.com</t>
  </si>
  <si>
    <t>75504821934</t>
  </si>
  <si>
    <t>16:46:44</t>
  </si>
  <si>
    <t>17:30:22</t>
  </si>
  <si>
    <t>8369705770</t>
  </si>
  <si>
    <t>learner156@example.com</t>
  </si>
  <si>
    <t>Academy Python track missing async programming, type hints, and dataclasses. These are mandatory for senior roles at Google, Microsoft, Meta. Current content feels like 2020 curriculum. || Resolution: Added advanced Python module covering modern language features</t>
  </si>
  <si>
    <t>75661899532</t>
  </si>
  <si>
    <t>17:11:35</t>
  </si>
  <si>
    <t>10:43:51</t>
  </si>
  <si>
    <t>8421589752</t>
  </si>
  <si>
    <t>learner157@example.com</t>
  </si>
  <si>
    <t>DevOps curriculum missing GitOps, service mesh, and observability tools. Only covers basic Docker and Jenkins. Modern DevOps uses ArgoCD, Istio, Prometheus. || Resolution: Updated DevOps track with cloud-native toolchain coverage</t>
  </si>
  <si>
    <t>75882727494</t>
  </si>
  <si>
    <t>18:27:24</t>
  </si>
  <si>
    <t>15:25:01</t>
  </si>
  <si>
    <t>7922542252</t>
  </si>
  <si>
    <t>learner158@example.com</t>
  </si>
  <si>
    <t>75611606895</t>
  </si>
  <si>
    <t>16:07:16</t>
  </si>
  <si>
    <t>9266518721</t>
  </si>
  <si>
    <t>learner159@example.com</t>
  </si>
  <si>
    <t>Career guidance sessions focus only on technical skills. No discussion about salary negotiation, PayTM culture fit, or work-life balance considerations. || Resolution: Introduced holistic career coaching covering all professional aspects</t>
  </si>
  <si>
    <t>75719378952</t>
  </si>
  <si>
    <t>18:37:05</t>
  </si>
  <si>
    <t>14:54:29</t>
  </si>
  <si>
    <t>8345122542</t>
  </si>
  <si>
    <t>learner160@example.com</t>
  </si>
  <si>
    <t>Audio-video sync issues during recorded playback. Instructor Nina Patel's voice doesn't match lip movement by 2-3 seconds. Distracting during learning. || Resolution: Fixed encoding pipeline and re-processed affected recordings</t>
  </si>
  <si>
    <t>75812005439</t>
  </si>
  <si>
    <t>15:11:31</t>
  </si>
  <si>
    <t>15:26:38</t>
  </si>
  <si>
    <t>9978271740</t>
  </si>
  <si>
    <t>learner161@example.com</t>
  </si>
  <si>
    <t>75410290140</t>
  </si>
  <si>
    <t>16:08:12</t>
  </si>
  <si>
    <t>16:39:03</t>
  </si>
  <si>
    <t>9411976659</t>
  </si>
  <si>
    <t>learner162@example.com</t>
  </si>
  <si>
    <t>75636791759</t>
  </si>
  <si>
    <t>13:02:17</t>
  </si>
  <si>
    <t>16:10:05</t>
  </si>
  <si>
    <t>9309011435</t>
  </si>
  <si>
    <t>learner163@example.com</t>
  </si>
  <si>
    <t>Geographic restrictions limiting opportunities. Family commitments require staying in Tier-2 city but most opportunities in Bangalore/Hyderabad. || Resolution: Focused on remote opportunities and companies with distributed teams</t>
  </si>
  <si>
    <t>75522628457</t>
  </si>
  <si>
    <t>13:49:34</t>
  </si>
  <si>
    <t>9328058564</t>
  </si>
  <si>
    <t>learner164@example.com</t>
  </si>
  <si>
    <t>75882896428</t>
  </si>
  <si>
    <t>13:22:55</t>
  </si>
  <si>
    <t>12:19:55</t>
  </si>
  <si>
    <t>8885790857</t>
  </si>
  <si>
    <t>learner165@example.com</t>
  </si>
  <si>
    <t>75549502403</t>
  </si>
  <si>
    <t>12:52:13</t>
  </si>
  <si>
    <t>18:40:27</t>
  </si>
  <si>
    <t>9448450685</t>
  </si>
  <si>
    <t>learner166@example.com</t>
  </si>
  <si>
    <t>75687057426</t>
  </si>
  <si>
    <t>17:57:43</t>
  </si>
  <si>
    <t>7582349911</t>
  </si>
  <si>
    <t>learner167@example.com</t>
  </si>
  <si>
    <t>75821659217</t>
  </si>
  <si>
    <t>16:09:36</t>
  </si>
  <si>
    <t>12:09:45</t>
  </si>
  <si>
    <t>9696435541</t>
  </si>
  <si>
    <t>learner168@example.com</t>
  </si>
  <si>
    <t>75796287154</t>
  </si>
  <si>
    <t>16:31:20</t>
  </si>
  <si>
    <t>7010621799</t>
  </si>
  <si>
    <t>learner169@example.com</t>
  </si>
  <si>
    <t>Assignment instructions assume prior knowledge not covered in lectures. Database project requires PostgreSQL when only MySQL was taught in class. || Resolution: Added prerequisite tutorials and Azure setup guides</t>
  </si>
  <si>
    <t>75627473778</t>
  </si>
  <si>
    <t>16:17:20</t>
  </si>
  <si>
    <t>17:25:13</t>
  </si>
  <si>
    <t>8450647350</t>
  </si>
  <si>
    <t>learner170@example.com</t>
  </si>
  <si>
    <t>75893472161</t>
  </si>
  <si>
    <t>09:07:59</t>
  </si>
  <si>
    <t>8895308730</t>
  </si>
  <si>
    <t>learner171@example.com</t>
  </si>
  <si>
    <t>Clearing technical rounds but failing in cultural fit assessments. Companies say not aligned with startup pace or collaborative work style. || Resolution: Added soft skills training and Swiggy culture preparation sessions</t>
  </si>
  <si>
    <t>75694226159</t>
  </si>
  <si>
    <t>10:41:23</t>
  </si>
  <si>
    <t>7353993484</t>
  </si>
  <si>
    <t>learner172@example.com</t>
  </si>
  <si>
    <t>TA Rohit takes 2-3 days to respond to doubt resolution requests. Critical errors in assignments go unresolved, affecting submission deadlines. || Resolution: Implemented 24-hour response SLA for TAs and hired additional support staff</t>
  </si>
  <si>
    <t>75401166414</t>
  </si>
  <si>
    <t>12:30:04</t>
  </si>
  <si>
    <t>15:41:05</t>
  </si>
  <si>
    <t>9549834042</t>
  </si>
  <si>
    <t>learner173@example.com</t>
  </si>
  <si>
    <t>75476051319</t>
  </si>
  <si>
    <t>7443247229</t>
  </si>
  <si>
    <t>learner174@example.com</t>
  </si>
  <si>
    <t>Mock interview sessions lack depth. Mentor asks basic questions without simulating real interview pressure or providing improvement feedback. || Resolution: Upgraded to senior mentor with interviewing experience at target companies</t>
  </si>
  <si>
    <t>75473456403</t>
  </si>
  <si>
    <t>17:36:00</t>
  </si>
  <si>
    <t>9791815554</t>
  </si>
  <si>
    <t>learner175@example.com</t>
  </si>
  <si>
    <t>75550337960</t>
  </si>
  <si>
    <t>10:37:46</t>
  </si>
  <si>
    <t>12:05:57</t>
  </si>
  <si>
    <t>8509834067</t>
  </si>
  <si>
    <t>learner176@example.com</t>
  </si>
  <si>
    <t>75723893509</t>
  </si>
  <si>
    <t>12:33:38</t>
  </si>
  <si>
    <t>18:38:46</t>
  </si>
  <si>
    <t>7810230640</t>
  </si>
  <si>
    <t>learner177@example.com</t>
  </si>
  <si>
    <t>75967243311</t>
  </si>
  <si>
    <t>09:23:59</t>
  </si>
  <si>
    <t>16:40:38</t>
  </si>
  <si>
    <t>7566862173</t>
  </si>
  <si>
    <t>learner178@example.com</t>
  </si>
  <si>
    <t>75414810579</t>
  </si>
  <si>
    <t>13:13:02</t>
  </si>
  <si>
    <t>8709289717</t>
  </si>
  <si>
    <t>learner179@example.com</t>
  </si>
  <si>
    <t>75697928718</t>
  </si>
  <si>
    <t>10:19:05</t>
  </si>
  <si>
    <t>17:34:39</t>
  </si>
  <si>
    <t>7872726570</t>
  </si>
  <si>
    <t>learner180@example.com</t>
  </si>
  <si>
    <t>Job offers coming from service companies but goal is product companies. Unable to break into companies like Flipkart, Swiggy, or Zomato despite preparation. || Resolution: Connected with product Uber employees for referrals and insider insights</t>
  </si>
  <si>
    <t>75462176039</t>
  </si>
  <si>
    <t>12:05:59</t>
  </si>
  <si>
    <t>10:19:44</t>
  </si>
  <si>
    <t>7498158588</t>
  </si>
  <si>
    <t>learner181@example.com</t>
  </si>
  <si>
    <t>75575913951</t>
  </si>
  <si>
    <t>16:22:33</t>
  </si>
  <si>
    <t>8113457241</t>
  </si>
  <si>
    <t>learner182@example.com</t>
  </si>
  <si>
    <t>75860983746</t>
  </si>
  <si>
    <t>13:33:04</t>
  </si>
  <si>
    <t>9476700066</t>
  </si>
  <si>
    <t>learner183@example.com</t>
  </si>
  <si>
    <t>75510493305</t>
  </si>
  <si>
    <t>18:43:46</t>
  </si>
  <si>
    <t>11:23:10</t>
  </si>
  <si>
    <t>7980989514</t>
  </si>
  <si>
    <t>learner184@example.com</t>
  </si>
  <si>
    <t>75993634042</t>
  </si>
  <si>
    <t>20:47:41</t>
  </si>
  <si>
    <t>11:59:54</t>
  </si>
  <si>
    <t>7964285941</t>
  </si>
  <si>
    <t>learner185@example.com</t>
  </si>
  <si>
    <t>Weekend Academy Jul25 Beginner timing (10 AM - 2 PM) conflicts with family time. Children's activities and household responsibilities suffer due to class schedule. || Resolution: Created flexible weekend options with shorter session formats</t>
  </si>
  <si>
    <t>75528205773</t>
  </si>
  <si>
    <t>17:43:57</t>
  </si>
  <si>
    <t>7770278136</t>
  </si>
  <si>
    <t>learner186@example.com</t>
  </si>
  <si>
    <t>Planning to relocate from Bangalore to Pune for family reasons. Unclear about job market, salary differences, and Ola options in Pune tech scene. || Resolution: Connected with local Pune-based mentors and provided market insights</t>
  </si>
  <si>
    <t>75993877361</t>
  </si>
  <si>
    <t>16:00:23</t>
  </si>
  <si>
    <t>8252391379</t>
  </si>
  <si>
    <t>learner187@example.com</t>
  </si>
  <si>
    <t>75561669421</t>
  </si>
  <si>
    <t>09:59:26</t>
  </si>
  <si>
    <t>12:46:57</t>
  </si>
  <si>
    <t>8000717686</t>
  </si>
  <si>
    <t>learner188@example.com</t>
  </si>
  <si>
    <t>Background verification issues due to previous Microsoft closure. Documentation unavailable but work experience legitimate and verifiable through colleagues. || Resolution: Created alternative verification process using professional references</t>
  </si>
  <si>
    <t>75850773824</t>
  </si>
  <si>
    <t>16:03:09</t>
  </si>
  <si>
    <t>2025-09-30</t>
  </si>
  <si>
    <t>13:06:13</t>
  </si>
  <si>
    <t>7399546384</t>
  </si>
  <si>
    <t>learner189@example.com</t>
  </si>
  <si>
    <t>75823431477</t>
  </si>
  <si>
    <t>10:37:36</t>
  </si>
  <si>
    <t>10:37:06</t>
  </si>
  <si>
    <t>8868237222</t>
  </si>
  <si>
    <t>learner190@example.com</t>
  </si>
  <si>
    <t>Priya Patel rushes through Python concepts without checking student understanding. Covers list comprehensions, decorators, and generators in single session. No time for practice exercises. || Resolution: Restructured curriculum to allocate more time per concept</t>
  </si>
  <si>
    <t>75741511874</t>
  </si>
  <si>
    <t>16:17:14</t>
  </si>
  <si>
    <t>7870644102</t>
  </si>
  <si>
    <t>learner191@example.com</t>
  </si>
  <si>
    <t>75885242269</t>
  </si>
  <si>
    <t>13:29:16</t>
  </si>
  <si>
    <t>10:34:22</t>
  </si>
  <si>
    <t>7388354759</t>
  </si>
  <si>
    <t>learner192@example.com</t>
  </si>
  <si>
    <t>75720877774</t>
  </si>
  <si>
    <t>13:52:11</t>
  </si>
  <si>
    <t>14:25:32</t>
  </si>
  <si>
    <t>8736851379</t>
  </si>
  <si>
    <t>learner193@example.com</t>
  </si>
  <si>
    <t>Academy DevOps Aug25 timing changes announced with 1-day notice. Difficult to reschedule work meetings and personal commitments on short notice. || Resolution: Implemented 1-week advance notice policy for any schedule changes</t>
  </si>
  <si>
    <t>75638680070</t>
  </si>
  <si>
    <t>11:12:52</t>
  </si>
  <si>
    <t>11:07:00</t>
  </si>
  <si>
    <t>8598757527</t>
  </si>
  <si>
    <t>learner194@example.com</t>
  </si>
  <si>
    <t>75538288872</t>
  </si>
  <si>
    <t>10:57:54</t>
  </si>
  <si>
    <t>12:57:41</t>
  </si>
  <si>
    <t>7526252306</t>
  </si>
  <si>
    <t>learner195@example.com</t>
  </si>
  <si>
    <t>75431656371</t>
  </si>
  <si>
    <t>15:43:27</t>
  </si>
  <si>
    <t>8520174713</t>
  </si>
  <si>
    <t>learner196@example.com</t>
  </si>
  <si>
    <t>75842373256</t>
  </si>
  <si>
    <t>17:30:03</t>
  </si>
  <si>
    <t>18:15:41</t>
  </si>
  <si>
    <t>8201628712</t>
  </si>
  <si>
    <t>learner197@example.com</t>
  </si>
  <si>
    <t>75915057244</t>
  </si>
  <si>
    <t>17:50:31</t>
  </si>
  <si>
    <t>2025-10-02</t>
  </si>
  <si>
    <t>17:50:01</t>
  </si>
  <si>
    <t>9429453032</t>
  </si>
  <si>
    <t>learner198@example.com</t>
  </si>
  <si>
    <t>Group project team members unresponsive and not contributing equally. Carrying entire workload solo while others get same grades. Need individual assessment. || Resolution: Implemented peer evaluation system and individual contribution tracking</t>
  </si>
  <si>
    <t>75462911855</t>
  </si>
  <si>
    <t>16:33:22</t>
  </si>
  <si>
    <t>09:57:51</t>
  </si>
  <si>
    <t>7999705716</t>
  </si>
  <si>
    <t>learner199@example.com</t>
  </si>
  <si>
    <t>75780968571</t>
  </si>
  <si>
    <t>11:11:15</t>
  </si>
  <si>
    <t>09:48:14</t>
  </si>
  <si>
    <t>8365818354</t>
  </si>
  <si>
    <t>learner200@example.com</t>
  </si>
  <si>
    <t>75982101860</t>
  </si>
  <si>
    <t>13:11:31</t>
  </si>
  <si>
    <t>18:09:36</t>
  </si>
  <si>
    <t>7387652480</t>
  </si>
  <si>
    <t>learner201@example.com</t>
  </si>
  <si>
    <t>75765887237</t>
  </si>
  <si>
    <t>20:11:58</t>
  </si>
  <si>
    <t>18:12:51</t>
  </si>
  <si>
    <t>7255790920</t>
  </si>
  <si>
    <t>learner202@example.com</t>
  </si>
  <si>
    <t>75508482467</t>
  </si>
  <si>
    <t>14:19:20</t>
  </si>
  <si>
    <t>14:04:23</t>
  </si>
  <si>
    <t>7676474018</t>
  </si>
  <si>
    <t>learner203@example.com</t>
  </si>
  <si>
    <t>Instructor Nina Patel David Chen frequently cancels AWS sessions due to health issues. This month: 5 out of 8 scheduled classes cancelled. Students falling behind on cloud certification timeline. || Resolution: Assigned backup instructor and provided comprehensive recorded sessions</t>
  </si>
  <si>
    <t>75639699130</t>
  </si>
  <si>
    <t>19:37:52</t>
  </si>
  <si>
    <t>8625147377</t>
  </si>
  <si>
    <t>learner204@example.com</t>
  </si>
  <si>
    <t>Evening AIML Jul25 starts at 7 PM when dinner time with family. Work-life balance getting affected due to late learning schedule. || Resolution: Introduced early evening slots (6-8 PM) based on demand</t>
  </si>
  <si>
    <t>75434770706</t>
  </si>
  <si>
    <t>11:38:20</t>
  </si>
  <si>
    <t>7948737873</t>
  </si>
  <si>
    <t>learner205@example.com</t>
  </si>
  <si>
    <t>Resume format doesn't work for startup applications. Too formal for young companies, but changing format affects ATS performance at large corporations. || Resolution: Created dual resume strategy for different Wipro types</t>
  </si>
  <si>
    <t>75760508244</t>
  </si>
  <si>
    <t>16:00:16</t>
  </si>
  <si>
    <t>14:10:40</t>
  </si>
  <si>
    <t>8071769843</t>
  </si>
  <si>
    <t>learner206@example.com</t>
  </si>
  <si>
    <t>75929442753</t>
  </si>
  <si>
    <t>15:22:34</t>
  </si>
  <si>
    <t>15:10:56</t>
  </si>
  <si>
    <t>7435632331</t>
  </si>
  <si>
    <t>learner207@example.com</t>
  </si>
  <si>
    <t>75680383739</t>
  </si>
  <si>
    <t>10:04:21</t>
  </si>
  <si>
    <t>09:18:01</t>
  </si>
  <si>
    <t>8612579345</t>
  </si>
  <si>
    <t>learner208@example.com</t>
  </si>
  <si>
    <t>75863129902</t>
  </si>
  <si>
    <t>19:10:38</t>
  </si>
  <si>
    <t>7674755608</t>
  </si>
  <si>
    <t>learner209@example.com</t>
  </si>
  <si>
    <t>75719331516</t>
  </si>
  <si>
    <t>12:06:03</t>
  </si>
  <si>
    <t>17:16:42</t>
  </si>
  <si>
    <t>9455732633</t>
  </si>
  <si>
    <t>learner210@example.com</t>
  </si>
  <si>
    <t>Sarah Johnson teaching DevOps has microphone issues every class. Voice cuts out during Docker explanations, students miss critical commands. Reported 4 times this month, still not fixed. || Resolution: Technical team replaced instructor's audio equipment immediately</t>
  </si>
  <si>
    <t>75427633490</t>
  </si>
  <si>
    <t>12:10:40</t>
  </si>
  <si>
    <t>18:30:12</t>
  </si>
  <si>
    <t>7351912852</t>
  </si>
  <si>
    <t>learner211@example.com</t>
  </si>
  <si>
    <t>75598514700</t>
  </si>
  <si>
    <t>14:56:24</t>
  </si>
  <si>
    <t>13:05:41</t>
  </si>
  <si>
    <t>7801367625</t>
  </si>
  <si>
    <t>learner212@example.com</t>
  </si>
  <si>
    <t>75492027526</t>
  </si>
  <si>
    <t>19:22:51</t>
  </si>
  <si>
    <t>18:03:09</t>
  </si>
  <si>
    <t>8778059107</t>
  </si>
  <si>
    <t>learner213@example.com</t>
  </si>
  <si>
    <t>75720890008</t>
  </si>
  <si>
    <t>10:25:57</t>
  </si>
  <si>
    <t>16:36:56</t>
  </si>
  <si>
    <t>9156509381</t>
  </si>
  <si>
    <t>learner214@example.com</t>
  </si>
  <si>
    <t>75606938058</t>
  </si>
  <si>
    <t>11:02:27</t>
  </si>
  <si>
    <t>9934001543</t>
  </si>
  <si>
    <t>learner215@example.com</t>
  </si>
  <si>
    <t>75997391512</t>
  </si>
  <si>
    <t>15:35:20</t>
  </si>
  <si>
    <t>9232043732</t>
  </si>
  <si>
    <t>learner216@example.com</t>
  </si>
  <si>
    <t>75513424523</t>
  </si>
  <si>
    <t>18:49:06</t>
  </si>
  <si>
    <t>11:09:36</t>
  </si>
  <si>
    <t>9300528259</t>
  </si>
  <si>
    <t>learner217@example.com</t>
  </si>
  <si>
    <t>75554460628</t>
  </si>
  <si>
    <t>18:38:43</t>
  </si>
  <si>
    <t>09:11:17</t>
  </si>
  <si>
    <t>7166569717</t>
  </si>
  <si>
    <t>learner218@example.com</t>
  </si>
  <si>
    <t>75725402780</t>
  </si>
  <si>
    <t>13:17:53</t>
  </si>
  <si>
    <t>9990082548</t>
  </si>
  <si>
    <t>learner219@example.com</t>
  </si>
  <si>
    <t>75601794412</t>
  </si>
  <si>
    <t>16:13:58</t>
  </si>
  <si>
    <t>13:46:26</t>
  </si>
  <si>
    <t>9080741273</t>
  </si>
  <si>
    <t>learner220@example.com</t>
  </si>
  <si>
    <t>75606978174</t>
  </si>
  <si>
    <t>12:53:03</t>
  </si>
  <si>
    <t>15:08:49</t>
  </si>
  <si>
    <t>7142039044</t>
  </si>
  <si>
    <t>learner221@example.com</t>
  </si>
  <si>
    <t>75432816979</t>
  </si>
  <si>
    <t>12:23:31</t>
  </si>
  <si>
    <t>17:25:40</t>
  </si>
  <si>
    <t>8915999663</t>
  </si>
  <si>
    <t>learner222@example.com</t>
  </si>
  <si>
    <t>75706090918</t>
  </si>
  <si>
    <t>09:24:03</t>
  </si>
  <si>
    <t>9457829635</t>
  </si>
  <si>
    <t>learner223@example.com</t>
  </si>
  <si>
    <t>75542071170</t>
  </si>
  <si>
    <t>19:11:38</t>
  </si>
  <si>
    <t>15:32:01</t>
  </si>
  <si>
    <t>7961084962</t>
  </si>
  <si>
    <t>learner224@example.com</t>
  </si>
  <si>
    <t>75509856785</t>
  </si>
  <si>
    <t>09:32:42</t>
  </si>
  <si>
    <t>16:19:43</t>
  </si>
  <si>
    <t>9411439945</t>
  </si>
  <si>
    <t>learner225@example.com</t>
  </si>
  <si>
    <t>Resume format doesn't work for startup applications. Too formal for young companies, but changing format affects ATS performance at large corporations. || Resolution: Created dual resume strategy for different Flipkart types</t>
  </si>
  <si>
    <t>CreatedDateTime</t>
  </si>
  <si>
    <t>MissingFieldsFlag</t>
  </si>
  <si>
    <t>StatusLogicFlag</t>
  </si>
  <si>
    <t>ResolutionErrorFlag</t>
  </si>
  <si>
    <t>DuplicateTicketFlag</t>
  </si>
  <si>
    <t>DuplicateRemarksFlag</t>
  </si>
  <si>
    <t>ResolvedDateTime</t>
  </si>
  <si>
    <t>CleanRemark</t>
  </si>
  <si>
    <t>RemarkHash</t>
  </si>
  <si>
    <t>Issue Type</t>
  </si>
  <si>
    <t>Count</t>
  </si>
  <si>
    <t>Sample Ticket Nos</t>
  </si>
  <si>
    <t>Missing Fields</t>
  </si>
  <si>
    <t>Pending but Solved</t>
  </si>
  <si>
    <t>Resolved Before Created</t>
  </si>
  <si>
    <t>Duplicate Ticket Nos</t>
  </si>
  <si>
    <t>Duplicate Remarks</t>
  </si>
  <si>
    <t>Field</t>
  </si>
  <si>
    <t>Validation Rule</t>
  </si>
  <si>
    <t xml:space="preserve">Program Name </t>
  </si>
  <si>
    <t>Status–Sub Status</t>
  </si>
  <si>
    <t>Must be present for all tickets. (Formula check: see NPS_Data helper column CreatedDateTime)</t>
  </si>
  <si>
    <t>Required if Status = Complete. should be blank for Pending.</t>
  </si>
  <si>
    <t>Cannot be blank. Use dropdown list of valid team members.</t>
  </si>
  <si>
    <t>Must match controlled issue list. Use dropdown.</t>
  </si>
  <si>
    <t>Must be selected from predefined list (Academy, AIML, DevOps, DSML).</t>
  </si>
  <si>
    <t>Must follow logical combos (e.g., Pending ≠ Solved). Use dependent dropdowns.</t>
  </si>
  <si>
    <t>Must be unique. Use alerts + duplicate flag.</t>
  </si>
  <si>
    <t>Limit to 250 characters. Store short summary &amp; hash for long text.</t>
  </si>
  <si>
    <t>Procedure</t>
  </si>
  <si>
    <t>Ticket Entry Template</t>
  </si>
  <si>
    <t>Controlled Vocabulary</t>
  </si>
  <si>
    <t>Timestamp Entry</t>
  </si>
  <si>
    <t xml:space="preserve">Remarks Field </t>
  </si>
  <si>
    <t>Duplicate Prevention</t>
  </si>
  <si>
    <t>Audit Trail</t>
  </si>
  <si>
    <t>Recommendation</t>
  </si>
  <si>
    <t>Create a locked Excel form with guided fields and dropdowns.</t>
  </si>
  <si>
    <t>Use dropdowns for Status, Sub Status, Program Name, and Issue 2 - NPS.</t>
  </si>
  <si>
    <t>Use formulas to auto-calculate CreatedDateTime and ResolvedDateTime</t>
  </si>
  <si>
    <t>Limit length and apply TRIM + CLEAN automatically to remove formatting issues.</t>
  </si>
  <si>
    <t>Use Excel alerts or Power Automate to flag repeated Ticket Nos or Remarks.</t>
  </si>
  <si>
    <t>Maintain a hidden column for Entry Timestamp and Entered By for traceability.</t>
  </si>
  <si>
    <t>Based on the data audit, we recommend enforcing field-level validations (mandatory Created/Resolved dates, dropdowns for Program and Issues, duplicate checks) and adopting standardized entry procedures (single intake form, SOP, automated checks, and audit trail). These measures will reduce manual errors, improve consistency across teams, and ensure reliable data for future analysis.</t>
  </si>
  <si>
    <t>Summary:</t>
  </si>
  <si>
    <t>ResolutionHours</t>
  </si>
  <si>
    <t>Week</t>
  </si>
  <si>
    <t>Month</t>
  </si>
  <si>
    <t>SLA_Breach</t>
  </si>
  <si>
    <t>Grand Total</t>
  </si>
  <si>
    <t>Ticket Count</t>
  </si>
  <si>
    <t>% of Total</t>
  </si>
  <si>
    <t>ResolvedFlag</t>
  </si>
  <si>
    <t>Total Hours</t>
  </si>
  <si>
    <t>Resolved Count</t>
  </si>
  <si>
    <t>Breach Count</t>
  </si>
  <si>
    <t>Avg Resolution Time (hrs)</t>
  </si>
  <si>
    <t>Column Labels</t>
  </si>
  <si>
    <t>Count of Ticket No</t>
  </si>
  <si>
    <t>Issue Prioritisation – Frequency &amp; Impact</t>
  </si>
  <si>
    <t>All Issues (Full Distribution)</t>
  </si>
  <si>
    <t>Impact Analysis (Resolution Time &amp; SLA)</t>
  </si>
  <si>
    <t xml:space="preserve">Issue </t>
  </si>
  <si>
    <t>Cross-Program vs Program-Specific</t>
  </si>
  <si>
    <t>Multiple categories tied at ~8%, showing recurring pain points.</t>
  </si>
  <si>
    <t>Insights – All Issues</t>
  </si>
  <si>
    <t>225 tickets across 14 categories, with no single issue above 10%.</t>
  </si>
  <si>
    <t>Top issue is Career Guidance (21 tickets, 9.3%).</t>
  </si>
  <si>
    <t xml:space="preserve">Top 5 Issues (Most Frequent) </t>
  </si>
  <si>
    <t>Insights – Top 5 Issues (Most Frequent)</t>
  </si>
  <si>
    <t>The Top 5 issues account for 94 tickets (41.8% of all issues).</t>
  </si>
  <si>
    <t>These are Career Guidance, Job Outcomes, Projects &amp; Assignments, Sales Promises, and Time Management.</t>
  </si>
  <si>
    <t>Concentrating fixes on just these 5 areas could potentially resolve nearly half of learner concerns.</t>
  </si>
  <si>
    <t>Insights – Impact Analysis</t>
  </si>
  <si>
    <t>All resolved tickets breached SLA → systemic gap.</t>
  </si>
  <si>
    <t>Avg resolution = 162 hrs (~7 days); some much higher.</t>
  </si>
  <si>
    <t>Instructor Feedback, Mentor Support, Career Guidance are slowest to resolve.</t>
  </si>
  <si>
    <t>Insights – Cross-Program vs Program-Specific</t>
  </si>
  <si>
    <t>Issues span all 4 programs, so problems are systemic.</t>
  </si>
  <si>
    <t>Career Guidance, Sales Promises, Projects, Time Mgmt. appear in every program.</t>
  </si>
  <si>
    <t>Mentor Support is heavy in DevOps; TA Support in Academy.</t>
  </si>
  <si>
    <t>Max of ResolutionHours2</t>
  </si>
  <si>
    <t>2025-32</t>
  </si>
  <si>
    <t>2025-08</t>
  </si>
  <si>
    <t>2025-38</t>
  </si>
  <si>
    <t>2025-09</t>
  </si>
  <si>
    <t>2025-31</t>
  </si>
  <si>
    <t>2025-35</t>
  </si>
  <si>
    <t>2025-36</t>
  </si>
  <si>
    <t>2025-37</t>
  </si>
  <si>
    <t>2025-33</t>
  </si>
  <si>
    <t>2025-34</t>
  </si>
  <si>
    <t>Single Fix Recommendation</t>
  </si>
  <si>
    <r>
      <t xml:space="preserve">It is the </t>
    </r>
    <r>
      <rPr>
        <b/>
        <sz val="10"/>
        <color rgb="FF000000"/>
        <rFont val="Arial"/>
        <family val="2"/>
        <scheme val="minor"/>
      </rPr>
      <t>most frequent issue</t>
    </r>
    <r>
      <rPr>
        <sz val="10"/>
        <color rgb="FF000000"/>
        <rFont val="Arial"/>
        <family val="2"/>
        <scheme val="minor"/>
      </rPr>
      <t xml:space="preserve"> (21 tickets, 9.3%).</t>
    </r>
  </si>
  <si>
    <r>
      <t xml:space="preserve">It spans </t>
    </r>
    <r>
      <rPr>
        <b/>
        <sz val="10"/>
        <color rgb="FF000000"/>
        <rFont val="Arial"/>
        <family val="2"/>
        <scheme val="minor"/>
      </rPr>
      <t>all 4 programs</t>
    </r>
    <r>
      <rPr>
        <sz val="10"/>
        <color rgb="FF000000"/>
        <rFont val="Arial"/>
        <family val="2"/>
        <scheme val="minor"/>
      </rPr>
      <t xml:space="preserve"> → systemic, not isolated.</t>
    </r>
  </si>
  <si>
    <r>
      <t xml:space="preserve">Resolution times are </t>
    </r>
    <r>
      <rPr>
        <b/>
        <sz val="10"/>
        <color rgb="FF000000"/>
        <rFont val="Arial"/>
        <family val="2"/>
        <scheme val="minor"/>
      </rPr>
      <t>above average (102 hrs)</t>
    </r>
    <r>
      <rPr>
        <sz val="10"/>
        <color rgb="FF000000"/>
        <rFont val="Arial"/>
        <family val="2"/>
        <scheme val="minor"/>
      </rPr>
      <t>, creating delays for learners.</t>
    </r>
  </si>
  <si>
    <r>
      <t xml:space="preserve">Improving Career Guidance (e.g., structured mentoring, clear job roadmap, stronger placement support) would benefit the </t>
    </r>
    <r>
      <rPr>
        <b/>
        <sz val="10"/>
        <color rgb="FF000000"/>
        <rFont val="Arial"/>
        <family val="2"/>
        <scheme val="minor"/>
      </rPr>
      <t>largest group of learners across all programs</t>
    </r>
    <r>
      <rPr>
        <sz val="10"/>
        <color rgb="FF000000"/>
        <rFont val="Arial"/>
        <family val="2"/>
        <scheme val="minor"/>
      </rPr>
      <t>.</t>
    </r>
  </si>
  <si>
    <t>Career Guidance issues should be the first priority to fix.</t>
  </si>
  <si>
    <t>Resolution Time Patterns by Issue Category</t>
  </si>
  <si>
    <t>Row Labels</t>
  </si>
  <si>
    <t>Trend Analysis</t>
  </si>
  <si>
    <t>Weekly Ticket Volume Trend</t>
  </si>
  <si>
    <t>Monthly Ticket Volume Trend</t>
  </si>
  <si>
    <r>
      <t xml:space="preserve">Ticket volumes peaked in </t>
    </r>
    <r>
      <rPr>
        <b/>
        <sz val="10"/>
        <color rgb="FF000000"/>
        <rFont val="Arial"/>
        <family val="2"/>
        <scheme val="minor"/>
      </rPr>
      <t xml:space="preserve">August 2025 </t>
    </r>
    <r>
      <rPr>
        <sz val="10"/>
        <color rgb="FF000000"/>
        <rFont val="Arial"/>
        <family val="2"/>
        <scheme val="minor"/>
      </rPr>
      <t>(</t>
    </r>
    <r>
      <rPr>
        <b/>
        <sz val="10"/>
        <color rgb="FF000000"/>
        <rFont val="Arial"/>
        <family val="2"/>
        <scheme val="minor"/>
      </rPr>
      <t>140 tickets, 62%</t>
    </r>
    <r>
      <rPr>
        <sz val="10"/>
        <color rgb="FF000000"/>
        <rFont val="Arial"/>
        <family val="2"/>
        <scheme val="minor"/>
      </rPr>
      <t xml:space="preserve">), with a weekly high of </t>
    </r>
    <r>
      <rPr>
        <b/>
        <sz val="10"/>
        <color rgb="FF000000"/>
        <rFont val="Arial"/>
        <family val="2"/>
        <scheme val="minor"/>
      </rPr>
      <t>35 tickets in Week 34</t>
    </r>
    <r>
      <rPr>
        <sz val="10"/>
        <color rgb="FF000000"/>
        <rFont val="Arial"/>
        <family val="2"/>
        <scheme val="minor"/>
      </rPr>
      <t>.</t>
    </r>
  </si>
  <si>
    <r>
      <t xml:space="preserve">September volumes dropped to </t>
    </r>
    <r>
      <rPr>
        <b/>
        <sz val="10"/>
        <color rgb="FF000000"/>
        <rFont val="Arial"/>
        <family val="2"/>
        <scheme val="minor"/>
      </rPr>
      <t>85 tickets (38%)</t>
    </r>
    <r>
      <rPr>
        <sz val="10"/>
        <color rgb="FF000000"/>
        <rFont val="Arial"/>
        <family val="2"/>
        <scheme val="minor"/>
      </rPr>
      <t xml:space="preserve">, but weekly counts stabilized around </t>
    </r>
    <r>
      <rPr>
        <b/>
        <sz val="10"/>
        <color rgb="FF000000"/>
        <rFont val="Arial"/>
        <family val="2"/>
        <scheme val="minor"/>
      </rPr>
      <t>30+</t>
    </r>
    <r>
      <rPr>
        <sz val="10"/>
        <color rgb="FF000000"/>
        <rFont val="Arial"/>
        <family val="2"/>
        <scheme val="minor"/>
      </rPr>
      <t>, showing steady flow of learner concerns.</t>
    </r>
  </si>
  <si>
    <t>Because</t>
  </si>
  <si>
    <t>Insights:</t>
  </si>
  <si>
    <t>Issue</t>
  </si>
  <si>
    <t>Issue Type Distribution Across Programs</t>
  </si>
  <si>
    <r>
      <rPr>
        <b/>
        <sz val="10"/>
        <color rgb="FF000000"/>
        <rFont val="Arial"/>
        <family val="2"/>
        <scheme val="minor"/>
      </rPr>
      <t>Cross-program issues</t>
    </r>
    <r>
      <rPr>
        <sz val="10"/>
        <color rgb="FF000000"/>
        <rFont val="Arial"/>
        <family val="2"/>
        <scheme val="minor"/>
      </rPr>
      <t xml:space="preserve"> (Career Guidance, Sales Promises, Projects, Time Mgmt.) appear in </t>
    </r>
    <r>
      <rPr>
        <b/>
        <sz val="10"/>
        <color rgb="FF000000"/>
        <rFont val="Arial"/>
        <family val="2"/>
        <scheme val="minor"/>
      </rPr>
      <t>all 4 programs → systemic problems.</t>
    </r>
  </si>
  <si>
    <r>
      <rPr>
        <b/>
        <sz val="10"/>
        <color rgb="FF000000"/>
        <rFont val="Arial"/>
        <family val="2"/>
        <scheme val="minor"/>
      </rPr>
      <t xml:space="preserve">Program-heavy issues: </t>
    </r>
    <r>
      <rPr>
        <sz val="10"/>
        <color rgb="FF000000"/>
        <rFont val="Arial"/>
        <family val="2"/>
        <scheme val="minor"/>
      </rPr>
      <t>Mentor Support (</t>
    </r>
    <r>
      <rPr>
        <b/>
        <sz val="10"/>
        <color rgb="FF000000"/>
        <rFont val="Arial"/>
        <family val="2"/>
        <scheme val="minor"/>
      </rPr>
      <t>DevOps</t>
    </r>
    <r>
      <rPr>
        <sz val="10"/>
        <color rgb="FF000000"/>
        <rFont val="Arial"/>
        <family val="2"/>
        <scheme val="minor"/>
      </rPr>
      <t>) and TA Support (</t>
    </r>
    <r>
      <rPr>
        <b/>
        <sz val="10"/>
        <color rgb="FF000000"/>
        <rFont val="Arial"/>
        <family val="2"/>
        <scheme val="minor"/>
      </rPr>
      <t>Academy</t>
    </r>
    <r>
      <rPr>
        <sz val="10"/>
        <color rgb="FF000000"/>
        <rFont val="Arial"/>
        <family val="2"/>
        <scheme val="minor"/>
      </rPr>
      <t xml:space="preserve">) </t>
    </r>
    <r>
      <rPr>
        <b/>
        <sz val="10"/>
        <color rgb="FF000000"/>
        <rFont val="Arial"/>
        <family val="2"/>
        <scheme val="minor"/>
      </rPr>
      <t>need targeted fixes</t>
    </r>
    <r>
      <rPr>
        <sz val="10"/>
        <color rgb="FF000000"/>
        <rFont val="Arial"/>
        <family val="2"/>
        <scheme val="minor"/>
      </rPr>
      <t>.</t>
    </r>
  </si>
  <si>
    <t>Team Performance Analysis (Resolution Efficiency)</t>
  </si>
  <si>
    <t>(blank)</t>
  </si>
  <si>
    <t>Max of ResolutionHours</t>
  </si>
  <si>
    <t>Weekday</t>
  </si>
  <si>
    <t>Friday</t>
  </si>
  <si>
    <t>Monday</t>
  </si>
  <si>
    <t>Saturday</t>
  </si>
  <si>
    <t>Sunday</t>
  </si>
  <si>
    <t>Thursday</t>
  </si>
  <si>
    <t>Tuesday</t>
  </si>
  <si>
    <t>Wednesday</t>
  </si>
  <si>
    <t>Seasonal / Time-Based Patterns</t>
  </si>
  <si>
    <r>
      <rPr>
        <b/>
        <sz val="10"/>
        <color rgb="FF000000"/>
        <rFont val="Arial"/>
        <family val="2"/>
        <scheme val="minor"/>
      </rPr>
      <t>Weekend spikes</t>
    </r>
    <r>
      <rPr>
        <sz val="10"/>
        <color rgb="FF000000"/>
        <rFont val="Arial"/>
        <family val="2"/>
        <scheme val="minor"/>
      </rPr>
      <t>: Saturday (41) and Sunday (43) drive the highest ticket volumes.</t>
    </r>
  </si>
  <si>
    <t xml:space="preserve">Insights </t>
  </si>
  <si>
    <r>
      <rPr>
        <b/>
        <sz val="10"/>
        <color rgb="FF000000"/>
        <rFont val="Arial"/>
        <family val="2"/>
        <scheme val="minor"/>
      </rPr>
      <t>Weekdays remain steady</t>
    </r>
    <r>
      <rPr>
        <sz val="10"/>
        <color rgb="FF000000"/>
        <rFont val="Arial"/>
        <family val="2"/>
        <scheme val="minor"/>
      </rPr>
      <t xml:space="preserve"> (22–36 tickets), with Wednesday (33) and Friday (36) slightly higher.</t>
    </r>
  </si>
  <si>
    <r>
      <t xml:space="preserve">Indicates learner issues </t>
    </r>
    <r>
      <rPr>
        <b/>
        <sz val="10"/>
        <color rgb="FF000000"/>
        <rFont val="Arial"/>
        <family val="2"/>
        <scheme val="minor"/>
      </rPr>
      <t>peak after weekend classes/sessions</t>
    </r>
    <r>
      <rPr>
        <sz val="10"/>
        <color rgb="FF000000"/>
        <rFont val="Arial"/>
        <family val="2"/>
        <scheme val="minor"/>
      </rPr>
      <t>, suggesting need for stronger weekend support coverage.</t>
    </r>
  </si>
  <si>
    <r>
      <t xml:space="preserve">Overall workload is fairly distributed, but </t>
    </r>
    <r>
      <rPr>
        <b/>
        <sz val="10"/>
        <color rgb="FF000000"/>
        <rFont val="Arial"/>
        <family val="2"/>
        <scheme val="minor"/>
      </rPr>
      <t>some team members consistently handle 20+ tickets</t>
    </r>
    <r>
      <rPr>
        <sz val="10"/>
        <color rgb="FF000000"/>
        <rFont val="Arial"/>
        <family val="2"/>
        <scheme val="minor"/>
      </rPr>
      <t>, indicating potential capacity strain.</t>
    </r>
  </si>
  <si>
    <r>
      <rPr>
        <b/>
        <sz val="10"/>
        <color rgb="FF000000"/>
        <rFont val="Arial"/>
        <family val="2"/>
        <scheme val="minor"/>
      </rPr>
      <t>5 tickets were unassigned</t>
    </r>
    <r>
      <rPr>
        <sz val="10"/>
        <color rgb="FF000000"/>
        <rFont val="Arial"/>
        <family val="2"/>
        <scheme val="minor"/>
      </rPr>
      <t xml:space="preserve"> → a gap in accountability.</t>
    </r>
  </si>
  <si>
    <r>
      <rPr>
        <b/>
        <sz val="10"/>
        <color rgb="FF000000"/>
        <rFont val="Arial"/>
        <family val="2"/>
        <scheme val="minor"/>
      </rPr>
      <t>Jessica Kim (38 tickets)</t>
    </r>
    <r>
      <rPr>
        <sz val="10"/>
        <color rgb="FF000000"/>
        <rFont val="Arial"/>
        <family val="2"/>
        <scheme val="minor"/>
      </rPr>
      <t xml:space="preserve"> and </t>
    </r>
    <r>
      <rPr>
        <b/>
        <sz val="10"/>
        <color rgb="FF000000"/>
        <rFont val="Arial"/>
        <family val="2"/>
        <scheme val="minor"/>
      </rPr>
      <t>Lisa Rodriguez (25)</t>
    </r>
    <r>
      <rPr>
        <sz val="10"/>
        <color rgb="FF000000"/>
        <rFont val="Arial"/>
        <family val="2"/>
        <scheme val="minor"/>
      </rPr>
      <t xml:space="preserve"> handled the highest ticket volumes.</t>
    </r>
  </si>
  <si>
    <t>Root Cause Analysis (Task 3A)</t>
  </si>
  <si>
    <t>Evidence (Counts/Avg Hrs)</t>
  </si>
  <si>
    <t>Systemic vs Isolated</t>
  </si>
  <si>
    <t>Likely Root Causes</t>
  </si>
  <si>
    <t>Processes Impacted</t>
  </si>
  <si>
    <t>Preventive Measures</t>
  </si>
  <si>
    <t>Quick Wins</t>
  </si>
  <si>
    <t>Looking for Career Guidance</t>
  </si>
  <si>
    <t>False Promise by Sales Team</t>
  </si>
  <si>
    <t>Time Management Concerns</t>
  </si>
  <si>
    <t>21 tickets (9.3% of all); Avg Resolution ≈ 102 hrs; spread across all 4 programs</t>
  </si>
  <si>
    <t>Systemic</t>
  </si>
  <si>
    <t>Unstructured mentorship; no dedicated triage for career queries; unclear ownership between career team/mentors</t>
  </si>
  <si>
    <t>Career support workflows, placement support queue</t>
  </si>
  <si>
    <t>Standardize career intake form, assign ticket owner by default, set SLA (48h first response)</t>
  </si>
  <si>
    <t>Weekly triage slot; rotating career lead; reply templates for common queries</t>
  </si>
  <si>
    <t>18 tickets (8%); Avg Resolution ≈ 151 hrs; all programs affected</t>
  </si>
  <si>
    <t>Inconsistent sales communication; no central log of commitments; support escalations needed</t>
  </si>
  <si>
    <t>Sales → Onboarding → Support; refund/compensation process</t>
  </si>
  <si>
    <t>Sales Commitment Register; mandatory approval for special promises; add "Sales Reference ID" in ticket form</t>
  </si>
  <si>
    <t>Daily sales-support sync; standard confirmation email to learners; flag undocumented promises</t>
  </si>
  <si>
    <t>18 tickets (8%); Avg Resolution ≈ 129 hrs; seen in every program</t>
  </si>
  <si>
    <t>Ambiguous deadlines; late assignment notifications; no structured learner schedules</t>
  </si>
  <si>
    <t>Assignment management, academic calendar, TA support</t>
  </si>
  <si>
    <t>Publish standard deadlines; auto-reminder system; create “deadline exception” SOP</t>
  </si>
  <si>
    <t>Weekly assignment digest email; group coaching on time management</t>
  </si>
  <si>
    <r>
      <rPr>
        <b/>
        <sz val="10"/>
        <color rgb="FF000000"/>
        <rFont val="Arial"/>
        <family val="2"/>
        <scheme val="minor"/>
      </rPr>
      <t xml:space="preserve">Conclusion: </t>
    </r>
    <r>
      <rPr>
        <sz val="10"/>
        <color rgb="FF000000"/>
        <rFont val="Arial"/>
        <family val="2"/>
        <scheme val="minor"/>
      </rPr>
      <t>Career Guidance, Sales Promises, and Time Management are systemic, cross-program issues. Addressing them via standardized workflows and triage processes will reduce SLA breaches and learner dissatisfaction.</t>
    </r>
  </si>
  <si>
    <t>KPI Name</t>
  </si>
  <si>
    <t>Frequency</t>
  </si>
  <si>
    <t>Owner</t>
  </si>
  <si>
    <t>Weekly Ticket Volume</t>
  </si>
  <si>
    <t>Monthly Ticket Volume</t>
  </si>
  <si>
    <t>SLA Breach Rate</t>
  </si>
  <si>
    <t>Top 5 Issue Share (%)</t>
  </si>
  <si>
    <t>Avg ResolutionHours (resolved only)</t>
  </si>
  <si>
    <t>Weekly</t>
  </si>
  <si>
    <t>Monthly</t>
  </si>
  <si>
    <t>Daily</t>
  </si>
  <si>
    <t>Program Ops Lead</t>
  </si>
  <si>
    <t>Program Head</t>
  </si>
  <si>
    <t>Support Lead</t>
  </si>
  <si>
    <t>&gt;20/week per program → notify Ops Manager</t>
  </si>
  <si>
    <t>&gt;10% m/m increase → investigate</t>
  </si>
  <si>
    <t>&gt;10% → escalate</t>
  </si>
  <si>
    <t>ThisWeek</t>
  </si>
  <si>
    <t>ThisMonth</t>
  </si>
  <si>
    <t>Avg Res (hrs)</t>
  </si>
  <si>
    <t>SLA Breach %</t>
  </si>
  <si>
    <t>Unassigned</t>
  </si>
  <si>
    <t>Top5 Share %</t>
  </si>
  <si>
    <t>KPI Dashboard</t>
  </si>
  <si>
    <t>Stakeholders &amp; Review Cadence</t>
  </si>
  <si>
    <t>Stakeholders</t>
  </si>
  <si>
    <t>Escalation Criteria</t>
  </si>
  <si>
    <t>Quarterly</t>
  </si>
  <si>
    <t>Last refreshed:</t>
  </si>
  <si>
    <t>Data Owner:</t>
  </si>
  <si>
    <t>Scaler</t>
  </si>
  <si>
    <t>NPS Monitoring Dashboard</t>
  </si>
  <si>
    <t>Weekly Tickets</t>
  </si>
  <si>
    <t>Unassigned Tickets</t>
  </si>
  <si>
    <t>Avg Resolution</t>
  </si>
  <si>
    <t>Area</t>
  </si>
  <si>
    <t>Feedback Loop</t>
  </si>
  <si>
    <t>Resource Optimisation &amp; Review Process (Task 3C):</t>
  </si>
  <si>
    <t>Definition / Formula (concept)</t>
  </si>
  <si>
    <t>Source Column(s)</t>
  </si>
  <si>
    <t>Count of tickets in THISWEEK</t>
  </si>
  <si>
    <t>Week, Ticket No</t>
  </si>
  <si>
    <t>Count in THISMONTH</t>
  </si>
  <si>
    <t>ResolutionHours, ResolvedFlag</t>
  </si>
  <si>
    <t>Weekly / Monthly</t>
  </si>
  <si>
    <t>Count(SLA_Breach="Breach") / Count(resolved)</t>
  </si>
  <si>
    <t>SLA_Breach, ResolvedFlag</t>
  </si>
  <si>
    <t>Unassigned Ticket Count</t>
  </si>
  <si>
    <t>Count where Assigned To is blank</t>
  </si>
  <si>
    <t>Shift Lead / Support Lead</t>
  </si>
  <si>
    <t>% tickets in top-5 issue categories</t>
  </si>
  <si>
    <t>Weekly/Monthly</t>
  </si>
  <si>
    <t>Threshold / Escalation</t>
  </si>
  <si>
    <t>&gt;72 hrs → escalate</t>
  </si>
  <si>
    <t>&gt;5 unassigned → immediate action</t>
  </si>
  <si>
    <t>&gt;40% → cross-team deep-dive</t>
  </si>
  <si>
    <t>Repeat Ticket Rate</t>
  </si>
  <si>
    <t>% tickets flagged Duplicate or RepeatedRemark</t>
  </si>
  <si>
    <t>&gt;5% → investigate remark quality</t>
  </si>
  <si>
    <t>Avg Time to First Response*</t>
  </si>
  <si>
    <t>Avg time from created → first agent remark</t>
  </si>
  <si>
    <t>CreatedDateTime, FirstResponseTime</t>
  </si>
  <si>
    <t>&gt;24 hrs → coaching (if tracked)</t>
  </si>
  <si>
    <t>Scope / Focus</t>
  </si>
  <si>
    <t>Program Ops Lead, Support Lead, Shift Lead</t>
  </si>
  <si>
    <t>SLA breaches, Avg resolution, Unassigned tickets, Top issues</t>
  </si>
  <si>
    <t>SLA Breach &gt;10% OR Avg Res &gt;72 hrs OR Unassigned &gt;5</t>
  </si>
  <si>
    <t>Program Head, Program Ops Lead, Support Lead, Sales Rep, Career Lead</t>
  </si>
  <si>
    <t>KPI trends, Top-5 deep-dive, resource allocation</t>
  </si>
  <si>
    <t>Ticket volume ↑ &gt;20% MoM OR Top-5 share &gt;40%</t>
  </si>
  <si>
    <t>COO, Ops Head, Program Heads</t>
  </si>
  <si>
    <t>Strategic review, resourcing, product changes</t>
  </si>
  <si>
    <t>Sustained SLA breach &gt;15% for 3 months or repeated systemic issues</t>
  </si>
  <si>
    <t>KPI Definition Table</t>
  </si>
  <si>
    <t>Ticket Intake</t>
  </si>
  <si>
    <t>Structured intake form with dropdowns + required fields (issue, program, Sales Ref ID)</t>
  </si>
  <si>
    <t>Immediate / ongoing</t>
  </si>
  <si>
    <t>Invalid tickets flagged in dashboard; reviewed weekly</t>
  </si>
  <si>
    <t>Auto-assign by program → default queue; alert when unassigned &gt; 2 hrs</t>
  </si>
  <si>
    <t>Support Lead / Shift Lead</t>
  </si>
  <si>
    <t>Real-time / daily</t>
  </si>
  <si>
    <t>Alert on dashboard; ops triage within shift</t>
  </si>
  <si>
    <t>SLA Monitoring</t>
  </si>
  <si>
    <t>Auto-calc ResolutionHours, SLA_Breach flag; daily refresh of pivots</t>
  </si>
  <si>
    <t>Support Lead / Program Ops Lead</t>
  </si>
  <si>
    <t>Daily (refresh)</t>
  </si>
  <si>
    <t>SLA breaches listed in Weekly triage; actions tracked</t>
  </si>
  <si>
    <t>Sales Commitments</t>
  </si>
  <si>
    <t>Central Sales Commitment Register + Sales Ref ID linked to tickets</t>
  </si>
  <si>
    <t>Sales Rep / Program Ops Lead</t>
  </si>
  <si>
    <t>Ongoing</t>
  </si>
  <si>
    <t>Undocumented promises flagged; weekly sales-support sync</t>
  </si>
  <si>
    <t>Assignment Scheduling</t>
  </si>
  <si>
    <t>Auto reminders, publish canonical deadlines; hold exception SOP</t>
  </si>
  <si>
    <t>Program Head / Support Lead</t>
  </si>
  <si>
    <t>Weekly (digest)</t>
  </si>
  <si>
    <t>Weekly digest + monitoring; exceptions documented</t>
  </si>
  <si>
    <t>Reporting Automation</t>
  </si>
  <si>
    <t>Power Query / Power Automate to refresh workbook, send weekly summary email</t>
  </si>
  <si>
    <t>Program Ops Lead / Support Lead</t>
  </si>
  <si>
    <t>Weekly report to Program Head + Ops; issues to triage</t>
  </si>
  <si>
    <t>Data Quality Checks</t>
  </si>
  <si>
    <t>Nightly script to run checks (missing dates, duplicates) and populate Audit Summary</t>
  </si>
  <si>
    <t>Nightly</t>
  </si>
  <si>
    <t>Weekly data-quality KPI in dashboard; remediation assigned</t>
  </si>
  <si>
    <t>Pivot Charts</t>
  </si>
  <si>
    <t>SELECT</t>
  </si>
  <si>
    <t xml:space="preserve">  COUNT(*) AS total_rows,</t>
  </si>
  <si>
    <t xml:space="preserve">  SUM(CASE WHEN "Created Date" IS NULL THEN 1 ELSE 0 END) AS missing_created_date,</t>
  </si>
  <si>
    <t xml:space="preserve">  SUM(CASE WHEN "Resolved Date" IS NULL THEN 1 ELSE 0 END) AS missing_resolved_date,</t>
  </si>
  <si>
    <t xml:space="preserve">  SUM(CASE WHEN "Issue 2 - NPS" IS NULL OR TRIM("Issue 2 - NPS") = '' THEN 1 ELSE 0 END) AS missing_issue,</t>
  </si>
  <si>
    <t xml:space="preserve">  SUM(CASE WHEN "Status" IS NULL OR TRIM("Status") = '' THEN 1 ELSE 0 END) AS missing_status,</t>
  </si>
  <si>
    <t xml:space="preserve">  SUM(CASE WHEN "Assigned To" IS NULL OR TRIM("Assigned To") = '' THEN 1 ELSE 0 END) AS missing_assigned</t>
  </si>
  <si>
    <t>FROM "NPS_Data";</t>
  </si>
  <si>
    <t>Missing critical fields summary</t>
  </si>
  <si>
    <t>SELECT "Ticket No", COUNT(*) AS dup_count</t>
  </si>
  <si>
    <t>FROM "NPS_Data"</t>
  </si>
  <si>
    <t>GROUP BY "Ticket No"</t>
  </si>
  <si>
    <t>HAVING COUNT(*) &gt; 1</t>
  </si>
  <si>
    <t>ORDER BY dup_count DESC;</t>
  </si>
  <si>
    <t>Duplicate Ticket numbers</t>
  </si>
  <si>
    <t>SELECT TRIM("Ticket All Remarks") AS remark_text,</t>
  </si>
  <si>
    <t xml:space="preserve">       COUNT(*) AS dup_count,</t>
  </si>
  <si>
    <t xml:space="preserve">       STRING_AGG("Ticket No", ', ') AS example_tickets</t>
  </si>
  <si>
    <t>WHERE "Ticket All Remarks" IS NOT NULL</t>
  </si>
  <si>
    <t xml:space="preserve">  AND TRIM("Ticket All Remarks") &lt;&gt; ''</t>
  </si>
  <si>
    <t>GROUP BY TRIM("Ticket All Remarks")</t>
  </si>
  <si>
    <t>Duplicate/Repeated remarks (exact text match after trim)</t>
  </si>
  <si>
    <t>SELECT "Ticket No", "Status", "Sub Status"</t>
  </si>
  <si>
    <t>WHERE</t>
  </si>
  <si>
    <t xml:space="preserve">  (LOWER(TRIM("Status")) = 'complete' AND ( "Resolved Date" IS NULL OR TRIM(CAST("Resolved Date" AS text)) = '' ))</t>
  </si>
  <si>
    <t xml:space="preserve">  OR (LOWER(TRIM("Status")) = 'pending' AND LOWER(TRIM("Sub Status")) = 'solved')</t>
  </si>
  <si>
    <t xml:space="preserve">  OR (LOWER(TRIM("Status")) IN ('closed','complete') AND LOWER(TRIM("Sub Status")) IN ('pending','in progress','waiting'));</t>
  </si>
  <si>
    <t>Status / SubStatus inconsistencies (examples)</t>
  </si>
  <si>
    <t>SELECT "Ticket No", "Created Date", "Resolved Date"</t>
  </si>
  <si>
    <t>WHERE "Resolved Date" IS NOT NULL</t>
  </si>
  <si>
    <t xml:space="preserve">  AND "Created Date" IS NOT NULL</t>
  </si>
  <si>
    <t xml:space="preserve">  AND ("Resolved Date" &lt; "Created Date");</t>
  </si>
  <si>
    <t>Resolved earlier than created</t>
  </si>
  <si>
    <t>SELECT "Ticket No", "Status", "Created Date", "Resolved Date"</t>
  </si>
  <si>
    <t>WHERE LOWER(TRIM("Status")) = 'complete'</t>
  </si>
  <si>
    <t xml:space="preserve">  AND ("Resolved Date" IS NULL OR TRIM(CAST("Resolved Date" AS text)) = '');</t>
  </si>
  <si>
    <t>Completed tickets Missing Resolved timestamp</t>
  </si>
  <si>
    <t>SELECT "Ticket No", "Created Date", "Resolved Date", "ResolutionHours"</t>
  </si>
  <si>
    <t>WHERE "ResolutionHours" IS NOT NULL</t>
  </si>
  <si>
    <t xml:space="preserve">  AND "ResolutionHours" &gt; 72</t>
  </si>
  <si>
    <t>ORDER BY "ResolutionHours" DESC;</t>
  </si>
  <si>
    <t>SLA breach using ResolutionHours column</t>
  </si>
  <si>
    <t>SELECT "Issue 2 - NPS" AS issue_type,</t>
  </si>
  <si>
    <t xml:space="preserve">       COUNT(*) AS ticket_count,</t>
  </si>
  <si>
    <t xml:space="preserve">       AVG(EXTRACT(EPOCH FROM ("Resolved Date" - "Created Date"))/3600.0) AS avg_resolution_hrs</t>
  </si>
  <si>
    <t>WHERE "Created Date" IS NOT NULL AND "Resolved Date" IS NOT NULL</t>
  </si>
  <si>
    <t>GROUP BY "Issue 2 - NPS"</t>
  </si>
  <si>
    <t>ORDER BY ticket_count DESC;</t>
  </si>
  <si>
    <t>Issue prioritization: count + avg resolution hours (Resolved only)</t>
  </si>
  <si>
    <t>WITH dups AS (</t>
  </si>
  <si>
    <t xml:space="preserve">  SELECT "Ticket No", COUNT(*) AS cnt</t>
  </si>
  <si>
    <t xml:space="preserve">  FROM "NPS_Data"</t>
  </si>
  <si>
    <t xml:space="preserve">  GROUP BY "Ticket No"</t>
  </si>
  <si>
    <t xml:space="preserve">  HAVING COUNT(*) &gt; 1</t>
  </si>
  <si>
    <t>)</t>
  </si>
  <si>
    <t xml:space="preserve">  (SELECT COUNT(*) FROM dups) AS duplicate_ticket_count,</t>
  </si>
  <si>
    <t xml:space="preserve">  (SELECT COUNT(*) FROM "NPS_Data") AS total_tickets,</t>
  </si>
  <si>
    <t xml:space="preserve">  (CAST((SELECT COUNT(*) FROM dups) AS numeric) / NULLIF((SELECT COUNT(*) FROM "NPS_Data"),0)) * 100.0 AS duplicate_rate_pct;</t>
  </si>
  <si>
    <t xml:space="preserve"> Duplicate Ticket number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</si>
</sst>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7" x14ac:knownFonts="1">
    <font>
      <sz val="10"/>
      <color rgb="FF000000"/>
      <name val="Arial"/>
      <scheme val="minor"/>
    </font>
    <font>
      <b/>
      <sz val="10"/>
      <color theme="1"/>
      <name val="Arial"/>
      <scheme val="minor"/>
    </font>
    <font>
      <sz val="10"/>
      <color theme="1"/>
      <name val="Arial"/>
      <scheme val="minor"/>
    </font>
    <font>
      <sz val="8"/>
      <name val="Arial"/>
      <scheme val="minor"/>
    </font>
    <font>
      <sz val="10"/>
      <color rgb="FF000000"/>
      <name val="Arial"/>
      <family val="2"/>
      <scheme val="minor"/>
    </font>
    <font>
      <sz val="10"/>
      <color theme="1"/>
      <name val="Arial"/>
      <family val="2"/>
      <scheme val="minor"/>
    </font>
    <font>
      <b/>
      <sz val="10"/>
      <color rgb="FF000000"/>
      <name val="Arial"/>
      <family val="2"/>
      <scheme val="minor"/>
    </font>
    <font>
      <b/>
      <sz val="10"/>
      <color theme="1"/>
      <name val="Arial"/>
      <family val="2"/>
      <scheme val="minor"/>
    </font>
    <font>
      <b/>
      <sz val="13.5"/>
      <color rgb="FF000000"/>
      <name val="Arial"/>
      <family val="2"/>
      <scheme val="minor"/>
    </font>
    <font>
      <b/>
      <sz val="18"/>
      <color theme="4" tint="-0.249977111117893"/>
      <name val="Arial"/>
      <family val="2"/>
      <scheme val="minor"/>
    </font>
    <font>
      <b/>
      <sz val="11"/>
      <color rgb="FF000000"/>
      <name val="Arial"/>
      <family val="2"/>
      <scheme val="minor"/>
    </font>
    <font>
      <i/>
      <sz val="10"/>
      <color rgb="FF000000"/>
      <name val="Arial"/>
      <family val="2"/>
      <scheme val="minor"/>
    </font>
    <font>
      <b/>
      <sz val="16"/>
      <color rgb="FF000000"/>
      <name val="Arial"/>
      <family val="2"/>
      <scheme val="minor"/>
    </font>
    <font>
      <b/>
      <sz val="16"/>
      <color theme="4" tint="-0.249977111117893"/>
      <name val="Arial"/>
      <family val="2"/>
      <scheme val="minor"/>
    </font>
    <font>
      <b/>
      <sz val="12"/>
      <color rgb="FF000000"/>
      <name val="Arial"/>
      <family val="2"/>
      <scheme val="minor"/>
    </font>
    <font>
      <b/>
      <sz val="14"/>
      <color rgb="FF000000"/>
      <name val="Arial"/>
      <family val="2"/>
      <scheme val="minor"/>
    </font>
    <font>
      <b/>
      <sz val="11"/>
      <name val="Arial"/>
      <family val="2"/>
      <scheme val="minor"/>
    </font>
    <font>
      <b/>
      <sz val="20"/>
      <color theme="4" tint="-0.249977111117893"/>
      <name val="Arial"/>
      <family val="2"/>
      <scheme val="minor"/>
    </font>
    <font>
      <b/>
      <sz val="14"/>
      <color theme="2"/>
      <name val="Arial"/>
      <family val="2"/>
      <scheme val="minor"/>
    </font>
    <font>
      <b/>
      <sz val="16"/>
      <color theme="0"/>
      <name val="Arial"/>
      <family val="2"/>
      <scheme val="minor"/>
    </font>
    <font>
      <sz val="16"/>
      <color theme="0"/>
      <name val="Arial"/>
      <family val="2"/>
      <scheme val="minor"/>
    </font>
    <font>
      <b/>
      <u/>
      <sz val="11"/>
      <color rgb="FF000000"/>
      <name val="Arial"/>
      <family val="2"/>
      <scheme val="minor"/>
    </font>
    <font>
      <sz val="18"/>
      <color theme="4" tint="-0.499984740745262"/>
      <name val="Arial"/>
      <family val="2"/>
      <scheme val="minor"/>
    </font>
    <font>
      <sz val="10"/>
      <color theme="2"/>
      <name val="Arial"/>
      <family val="2"/>
      <scheme val="minor"/>
    </font>
    <font>
      <b/>
      <sz val="18"/>
      <color theme="2"/>
      <name val="Arial"/>
      <family val="2"/>
      <scheme val="minor"/>
    </font>
    <font>
      <sz val="22"/>
      <color theme="2"/>
      <name val="Arial"/>
      <family val="2"/>
      <scheme val="minor"/>
    </font>
    <font>
      <sz val="26"/>
      <color theme="2"/>
      <name val="Arial"/>
      <family val="2"/>
      <scheme val="minor"/>
    </font>
  </fonts>
  <fills count="13">
    <fill>
      <patternFill patternType="none"/>
    </fill>
    <fill>
      <patternFill patternType="gray125"/>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59999389629810485"/>
        <bgColor theme="4" tint="0.59999389629810485"/>
      </patternFill>
    </fill>
    <fill>
      <patternFill patternType="solid">
        <fgColor rgb="FF76E694"/>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0"/>
        <bgColor indexed="64"/>
      </patternFill>
    </fill>
    <fill>
      <patternFill patternType="solid">
        <fgColor rgb="FF0000CC"/>
        <bgColor indexed="64"/>
      </patternFill>
    </fill>
    <fill>
      <patternFill patternType="solid">
        <fgColor theme="2" tint="-0.14999847407452621"/>
        <bgColor indexed="64"/>
      </patternFill>
    </fill>
    <fill>
      <patternFill patternType="solid">
        <fgColor theme="3" tint="0.499984740745262"/>
        <bgColor indexed="64"/>
      </patternFill>
    </fill>
    <fill>
      <patternFill patternType="solid">
        <fgColor rgb="FF7030A0"/>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theme="4" tint="0.39997558519241921"/>
      </bottom>
      <diagonal/>
    </border>
    <border>
      <left/>
      <right/>
      <top style="thin">
        <color theme="4" tint="0.79998168889431442"/>
      </top>
      <bottom style="thin">
        <color theme="4" tint="0.79998168889431442"/>
      </bottom>
      <diagonal/>
    </border>
    <border>
      <left style="medium">
        <color theme="4" tint="-0.249977111117893"/>
      </left>
      <right/>
      <top style="medium">
        <color theme="4" tint="-0.249977111117893"/>
      </top>
      <bottom/>
      <diagonal/>
    </border>
    <border>
      <left/>
      <right style="medium">
        <color theme="4" tint="-0.249977111117893"/>
      </right>
      <top style="medium">
        <color theme="4" tint="-0.249977111117893"/>
      </top>
      <bottom/>
      <diagonal/>
    </border>
    <border>
      <left style="medium">
        <color theme="4" tint="-0.249977111117893"/>
      </left>
      <right/>
      <top/>
      <bottom/>
      <diagonal/>
    </border>
    <border>
      <left/>
      <right style="medium">
        <color theme="4" tint="-0.249977111117893"/>
      </right>
      <top/>
      <bottom/>
      <diagonal/>
    </border>
    <border>
      <left style="medium">
        <color theme="4" tint="-0.249977111117893"/>
      </left>
      <right/>
      <top/>
      <bottom style="medium">
        <color theme="4" tint="-0.249977111117893"/>
      </bottom>
      <diagonal/>
    </border>
    <border>
      <left/>
      <right style="medium">
        <color theme="4" tint="-0.249977111117893"/>
      </right>
      <top/>
      <bottom style="medium">
        <color theme="4" tint="-0.249977111117893"/>
      </bottom>
      <diagonal/>
    </border>
    <border>
      <left style="medium">
        <color theme="7" tint="-0.249977111117893"/>
      </left>
      <right/>
      <top/>
      <bottom/>
      <diagonal/>
    </border>
    <border>
      <left/>
      <right/>
      <top/>
      <bottom style="thin">
        <color theme="3"/>
      </bottom>
      <diagonal/>
    </border>
    <border>
      <left/>
      <right/>
      <top style="thin">
        <color theme="3"/>
      </top>
      <bottom/>
      <diagonal/>
    </border>
    <border>
      <left/>
      <right style="medium">
        <color theme="3"/>
      </right>
      <top/>
      <bottom/>
      <diagonal/>
    </border>
    <border>
      <left/>
      <right/>
      <top/>
      <bottom style="medium">
        <color theme="3"/>
      </bottom>
      <diagonal/>
    </border>
    <border>
      <left/>
      <right style="medium">
        <color theme="3"/>
      </right>
      <top/>
      <bottom style="medium">
        <color theme="3"/>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style="thin">
        <color theme="3"/>
      </right>
      <top/>
      <bottom style="thin">
        <color theme="3"/>
      </bottom>
      <diagonal/>
    </border>
    <border>
      <left style="medium">
        <color theme="7" tint="-0.249977111117893"/>
      </left>
      <right/>
      <top/>
      <bottom style="thin">
        <color theme="3"/>
      </bottom>
      <diagonal/>
    </border>
  </borders>
  <cellStyleXfs count="1">
    <xf numFmtId="0" fontId="0" fillId="0" borderId="0"/>
  </cellStyleXfs>
  <cellXfs count="112">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horizontal="center"/>
    </xf>
    <xf numFmtId="0" fontId="1" fillId="0" borderId="2" xfId="0" applyFont="1" applyBorder="1" applyAlignment="1">
      <alignment horizontal="center" vertical="top"/>
    </xf>
    <xf numFmtId="164" fontId="2" fillId="0" borderId="0" xfId="0" applyNumberFormat="1" applyFont="1"/>
    <xf numFmtId="164" fontId="1" fillId="0" borderId="2" xfId="0" applyNumberFormat="1" applyFont="1" applyBorder="1" applyAlignment="1">
      <alignment horizontal="center" vertical="top"/>
    </xf>
    <xf numFmtId="164" fontId="0" fillId="0" borderId="0" xfId="0" applyNumberFormat="1"/>
    <xf numFmtId="0" fontId="4" fillId="0" borderId="0" xfId="0" applyFont="1"/>
    <xf numFmtId="0" fontId="6" fillId="0" borderId="0" xfId="0" applyFont="1" applyAlignment="1">
      <alignment vertical="center"/>
    </xf>
    <xf numFmtId="0" fontId="4" fillId="0" borderId="0" xfId="0" applyFont="1" applyAlignment="1">
      <alignment horizontal="left" wrapText="1"/>
    </xf>
    <xf numFmtId="0" fontId="5" fillId="0" borderId="0" xfId="0" applyFont="1"/>
    <xf numFmtId="0" fontId="7" fillId="0" borderId="2" xfId="0" applyFont="1" applyBorder="1" applyAlignment="1">
      <alignment horizontal="center" vertical="top"/>
    </xf>
    <xf numFmtId="0" fontId="0" fillId="0" borderId="0" xfId="0" applyAlignment="1">
      <alignment horizontal="center"/>
    </xf>
    <xf numFmtId="0" fontId="5" fillId="0" borderId="0" xfId="0" applyFont="1" applyAlignment="1">
      <alignment horizontal="center"/>
    </xf>
    <xf numFmtId="2" fontId="7" fillId="0" borderId="2" xfId="0" applyNumberFormat="1" applyFont="1" applyBorder="1" applyAlignment="1">
      <alignment horizontal="center" vertical="top"/>
    </xf>
    <xf numFmtId="2" fontId="5" fillId="0" borderId="0" xfId="0" applyNumberFormat="1" applyFont="1" applyAlignment="1">
      <alignment horizontal="center" vertical="center"/>
    </xf>
    <xf numFmtId="2" fontId="5" fillId="0" borderId="0" xfId="0" applyNumberFormat="1" applyFont="1" applyAlignment="1">
      <alignment horizontal="center"/>
    </xf>
    <xf numFmtId="2" fontId="0" fillId="0" borderId="0" xfId="0" applyNumberFormat="1" applyAlignment="1">
      <alignment horizontal="center"/>
    </xf>
    <xf numFmtId="0" fontId="5" fillId="0" borderId="0" xfId="0" applyFont="1" applyAlignment="1">
      <alignment horizontal="center" vertical="center"/>
    </xf>
    <xf numFmtId="0" fontId="0" fillId="0" borderId="0" xfId="0" pivotButton="1"/>
    <xf numFmtId="0" fontId="0" fillId="0" borderId="0" xfId="0" applyAlignment="1">
      <alignment horizontal="left"/>
    </xf>
    <xf numFmtId="0" fontId="7" fillId="2" borderId="3" xfId="0" applyFont="1" applyFill="1" applyBorder="1"/>
    <xf numFmtId="10" fontId="0" fillId="0" borderId="0" xfId="0" applyNumberFormat="1"/>
    <xf numFmtId="0" fontId="4" fillId="0" borderId="0" xfId="0" applyFont="1" applyAlignment="1">
      <alignment horizontal="left"/>
    </xf>
    <xf numFmtId="164" fontId="7" fillId="0" borderId="2" xfId="0" applyNumberFormat="1" applyFont="1" applyBorder="1" applyAlignment="1">
      <alignment horizontal="center" vertical="top"/>
    </xf>
    <xf numFmtId="2" fontId="0" fillId="0" borderId="0" xfId="0" applyNumberFormat="1"/>
    <xf numFmtId="2" fontId="4" fillId="0" borderId="0" xfId="0" applyNumberFormat="1" applyFont="1"/>
    <xf numFmtId="0" fontId="7" fillId="0" borderId="0" xfId="0" applyFont="1" applyAlignment="1">
      <alignment horizontal="left"/>
    </xf>
    <xf numFmtId="10" fontId="7" fillId="0" borderId="0" xfId="0" applyNumberFormat="1" applyFont="1"/>
    <xf numFmtId="0" fontId="7" fillId="0" borderId="0" xfId="0" applyFont="1"/>
    <xf numFmtId="0" fontId="9" fillId="3" borderId="0" xfId="0" applyFont="1" applyFill="1"/>
    <xf numFmtId="0" fontId="0" fillId="3" borderId="0" xfId="0" applyFill="1"/>
    <xf numFmtId="0" fontId="10" fillId="0" borderId="0" xfId="0" applyFont="1"/>
    <xf numFmtId="0" fontId="10" fillId="0" borderId="0" xfId="0" applyFont="1" applyAlignment="1">
      <alignment horizontal="left" vertical="center" wrapText="1"/>
    </xf>
    <xf numFmtId="0" fontId="0" fillId="0" borderId="0" xfId="0" applyAlignment="1">
      <alignment horizontal="left" vertical="center" indent="1"/>
    </xf>
    <xf numFmtId="0" fontId="4" fillId="0" borderId="0" xfId="0" applyFont="1" applyAlignment="1">
      <alignment horizontal="left" vertical="center" indent="1"/>
    </xf>
    <xf numFmtId="0" fontId="10" fillId="0" borderId="0" xfId="0" applyFont="1" applyAlignment="1">
      <alignment vertical="center"/>
    </xf>
    <xf numFmtId="0" fontId="11" fillId="0" borderId="0" xfId="0" applyFont="1" applyAlignment="1">
      <alignment horizontal="left" vertical="center" indent="1"/>
    </xf>
    <xf numFmtId="0" fontId="8" fillId="0" borderId="0" xfId="0" applyFont="1" applyAlignment="1">
      <alignment vertical="center"/>
    </xf>
    <xf numFmtId="0" fontId="4" fillId="0" borderId="0" xfId="0" applyFont="1" applyAlignment="1">
      <alignment horizontal="left" vertical="center" indent="1"/>
    </xf>
    <xf numFmtId="0" fontId="0" fillId="0" borderId="0" xfId="0" applyAlignment="1">
      <alignment horizontal="left" vertical="center" indent="1"/>
    </xf>
    <xf numFmtId="0" fontId="1" fillId="2" borderId="3" xfId="0" applyFont="1" applyFill="1" applyBorder="1"/>
    <xf numFmtId="0" fontId="0" fillId="0" borderId="0" xfId="0" applyNumberFormat="1"/>
    <xf numFmtId="0" fontId="6" fillId="0" borderId="0" xfId="0" applyFont="1"/>
    <xf numFmtId="0" fontId="0" fillId="5" borderId="0" xfId="0" applyFill="1"/>
    <xf numFmtId="0" fontId="9" fillId="5" borderId="0" xfId="0" applyFont="1" applyFill="1"/>
    <xf numFmtId="0" fontId="16" fillId="0" borderId="0" xfId="0" applyFont="1"/>
    <xf numFmtId="0" fontId="5" fillId="0" borderId="0" xfId="0" applyNumberFormat="1" applyFont="1" applyAlignment="1">
      <alignment horizontal="center"/>
    </xf>
    <xf numFmtId="0" fontId="0" fillId="0" borderId="0" xfId="0" applyAlignment="1">
      <alignment vertical="center"/>
    </xf>
    <xf numFmtId="0" fontId="13" fillId="6" borderId="0" xfId="0" applyFont="1" applyFill="1"/>
    <xf numFmtId="0" fontId="0" fillId="6" borderId="0" xfId="0" applyFill="1"/>
    <xf numFmtId="0" fontId="4" fillId="0" borderId="0" xfId="0" applyFont="1" applyAlignment="1">
      <alignment wrapText="1"/>
    </xf>
    <xf numFmtId="0" fontId="4" fillId="0" borderId="0" xfId="0" applyFont="1" applyAlignment="1">
      <alignment vertical="center"/>
    </xf>
    <xf numFmtId="0" fontId="4" fillId="0" borderId="0" xfId="0" applyFont="1" applyAlignment="1">
      <alignment vertical="top" wrapText="1"/>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right" vertical="center" wrapText="1"/>
    </xf>
    <xf numFmtId="0" fontId="4" fillId="0" borderId="0" xfId="0" applyFont="1" applyAlignment="1">
      <alignment horizontal="center" vertical="center"/>
    </xf>
    <xf numFmtId="0" fontId="0" fillId="8" borderId="0" xfId="0" applyFill="1"/>
    <xf numFmtId="0" fontId="0" fillId="0" borderId="0" xfId="0" applyFill="1"/>
    <xf numFmtId="0" fontId="17" fillId="0" borderId="0" xfId="0" applyFont="1"/>
    <xf numFmtId="0" fontId="0" fillId="0" borderId="0" xfId="0" applyAlignment="1">
      <alignment vertical="top"/>
    </xf>
    <xf numFmtId="0" fontId="5" fillId="4" borderId="4" xfId="0" applyFont="1" applyFill="1" applyBorder="1" applyAlignment="1">
      <alignment horizontal="left"/>
    </xf>
    <xf numFmtId="0" fontId="5" fillId="0" borderId="0" xfId="0" applyNumberFormat="1" applyFont="1"/>
    <xf numFmtId="0" fontId="7" fillId="0" borderId="2" xfId="0" applyNumberFormat="1" applyFont="1" applyBorder="1" applyAlignment="1">
      <alignment horizontal="center" vertical="top"/>
    </xf>
    <xf numFmtId="0" fontId="19" fillId="9" borderId="0" xfId="0" applyFont="1" applyFill="1" applyAlignment="1">
      <alignment horizontal="center"/>
    </xf>
    <xf numFmtId="0" fontId="20" fillId="9" borderId="0" xfId="0" applyFont="1" applyFill="1" applyAlignment="1">
      <alignment horizontal="center"/>
    </xf>
    <xf numFmtId="0" fontId="6" fillId="7" borderId="5" xfId="0" applyFont="1" applyFill="1" applyBorder="1" applyAlignment="1">
      <alignment horizontal="center" vertical="center"/>
    </xf>
    <xf numFmtId="0" fontId="15" fillId="0" borderId="6" xfId="0" applyFont="1" applyBorder="1" applyAlignment="1">
      <alignment vertical="center"/>
    </xf>
    <xf numFmtId="0" fontId="6" fillId="7" borderId="7" xfId="0" applyFont="1" applyFill="1" applyBorder="1" applyAlignment="1">
      <alignment horizontal="center" vertical="center"/>
    </xf>
    <xf numFmtId="0" fontId="15" fillId="0" borderId="8" xfId="0" applyFont="1" applyBorder="1" applyAlignment="1">
      <alignment vertical="center"/>
    </xf>
    <xf numFmtId="0" fontId="6" fillId="7" borderId="9" xfId="0" applyFont="1" applyFill="1" applyBorder="1" applyAlignment="1">
      <alignment horizontal="center" vertical="center"/>
    </xf>
    <xf numFmtId="0" fontId="15" fillId="0" borderId="10" xfId="0" applyFont="1" applyBorder="1" applyAlignment="1">
      <alignment vertical="center"/>
    </xf>
    <xf numFmtId="0" fontId="21" fillId="0" borderId="0" xfId="0" applyFont="1"/>
    <xf numFmtId="0" fontId="6" fillId="0" borderId="0" xfId="0" applyFont="1" applyAlignment="1">
      <alignment horizontal="center" vertical="center" wrapText="1"/>
    </xf>
    <xf numFmtId="0" fontId="6" fillId="0" borderId="0" xfId="0" applyFont="1" applyAlignment="1">
      <alignment vertical="center" wrapText="1"/>
    </xf>
    <xf numFmtId="0" fontId="12" fillId="0" borderId="0" xfId="0" applyFont="1" applyAlignment="1">
      <alignment horizontal="center"/>
    </xf>
    <xf numFmtId="0" fontId="6" fillId="0" borderId="0" xfId="0" applyFont="1" applyAlignment="1">
      <alignment horizontal="center"/>
    </xf>
    <xf numFmtId="0" fontId="6" fillId="10" borderId="0" xfId="0" applyFont="1" applyFill="1"/>
    <xf numFmtId="22" fontId="6" fillId="10" borderId="0" xfId="0" applyNumberFormat="1" applyFont="1" applyFill="1" applyAlignment="1">
      <alignment horizontal="left" vertical="center"/>
    </xf>
    <xf numFmtId="0" fontId="6" fillId="10" borderId="0" xfId="0" applyFont="1" applyFill="1" applyAlignment="1">
      <alignment horizontal="left" vertical="center"/>
    </xf>
    <xf numFmtId="0" fontId="6" fillId="10" borderId="0" xfId="0" applyFont="1" applyFill="1" applyAlignment="1">
      <alignment horizontal="center"/>
    </xf>
    <xf numFmtId="0" fontId="24" fillId="11" borderId="0" xfId="0" applyFont="1" applyFill="1" applyAlignment="1">
      <alignment horizontal="center" vertical="center"/>
    </xf>
    <xf numFmtId="0" fontId="23" fillId="11" borderId="0" xfId="0" applyFont="1" applyFill="1" applyBorder="1" applyAlignment="1">
      <alignment horizontal="center"/>
    </xf>
    <xf numFmtId="0" fontId="24" fillId="11" borderId="0" xfId="0" applyFont="1" applyFill="1" applyBorder="1" applyAlignment="1">
      <alignment horizontal="center" vertical="center"/>
    </xf>
    <xf numFmtId="0" fontId="0" fillId="0" borderId="12" xfId="0" applyBorder="1"/>
    <xf numFmtId="0" fontId="0" fillId="0" borderId="13" xfId="0" applyBorder="1"/>
    <xf numFmtId="0" fontId="23" fillId="11" borderId="14" xfId="0" applyFont="1" applyFill="1" applyBorder="1" applyAlignment="1">
      <alignment horizontal="center"/>
    </xf>
    <xf numFmtId="0" fontId="24" fillId="11" borderId="14" xfId="0" applyFont="1" applyFill="1" applyBorder="1" applyAlignment="1">
      <alignment horizontal="center" vertical="center"/>
    </xf>
    <xf numFmtId="0" fontId="24" fillId="11" borderId="15" xfId="0" applyFont="1" applyFill="1" applyBorder="1" applyAlignment="1">
      <alignment horizontal="center" vertical="center"/>
    </xf>
    <xf numFmtId="0" fontId="24" fillId="11" borderId="16" xfId="0" applyFont="1" applyFill="1" applyBorder="1" applyAlignment="1">
      <alignment horizontal="center" vertical="center"/>
    </xf>
    <xf numFmtId="0" fontId="24" fillId="11" borderId="17" xfId="0" applyFont="1" applyFill="1" applyBorder="1" applyAlignment="1">
      <alignment horizontal="center" vertical="center"/>
    </xf>
    <xf numFmtId="0" fontId="24" fillId="11" borderId="18" xfId="0" applyFont="1" applyFill="1" applyBorder="1" applyAlignment="1">
      <alignment horizontal="center" vertical="center"/>
    </xf>
    <xf numFmtId="0" fontId="24" fillId="11" borderId="19" xfId="0" applyFont="1" applyFill="1" applyBorder="1" applyAlignment="1">
      <alignment horizontal="center" vertical="center"/>
    </xf>
    <xf numFmtId="0" fontId="24" fillId="11" borderId="12" xfId="0" applyFont="1" applyFill="1" applyBorder="1" applyAlignment="1">
      <alignment horizontal="center" vertical="center"/>
    </xf>
    <xf numFmtId="0" fontId="24" fillId="11" borderId="20" xfId="0" applyFont="1" applyFill="1" applyBorder="1" applyAlignment="1">
      <alignment horizontal="center" vertical="center"/>
    </xf>
    <xf numFmtId="0" fontId="23" fillId="11" borderId="17" xfId="0" applyFont="1" applyFill="1" applyBorder="1" applyAlignment="1">
      <alignment horizontal="center" vertical="center"/>
    </xf>
    <xf numFmtId="0" fontId="23" fillId="11" borderId="0" xfId="0" applyFont="1" applyFill="1" applyBorder="1" applyAlignment="1">
      <alignment horizontal="center" vertical="center"/>
    </xf>
    <xf numFmtId="0" fontId="23" fillId="11" borderId="18" xfId="0" applyFont="1" applyFill="1" applyBorder="1" applyAlignment="1">
      <alignment horizontal="center" vertical="center"/>
    </xf>
    <xf numFmtId="0" fontId="18" fillId="11" borderId="17" xfId="0" applyFont="1" applyFill="1" applyBorder="1" applyAlignment="1">
      <alignment horizontal="center" vertical="center"/>
    </xf>
    <xf numFmtId="0" fontId="18" fillId="11" borderId="0" xfId="0" applyFont="1" applyFill="1" applyBorder="1" applyAlignment="1">
      <alignment horizontal="center"/>
    </xf>
    <xf numFmtId="0" fontId="22" fillId="0" borderId="0" xfId="0" applyFont="1" applyBorder="1" applyAlignment="1">
      <alignment vertical="center"/>
    </xf>
    <xf numFmtId="0" fontId="22" fillId="0" borderId="12" xfId="0" applyFont="1" applyBorder="1" applyAlignment="1">
      <alignment vertical="center"/>
    </xf>
    <xf numFmtId="0" fontId="25" fillId="12" borderId="11" xfId="0" applyFont="1" applyFill="1" applyBorder="1" applyAlignment="1">
      <alignment horizontal="center" vertical="center"/>
    </xf>
    <xf numFmtId="0" fontId="25" fillId="12" borderId="0" xfId="0" applyFont="1" applyFill="1" applyBorder="1" applyAlignment="1">
      <alignment horizontal="center" vertical="center"/>
    </xf>
    <xf numFmtId="0" fontId="25" fillId="12" borderId="21" xfId="0" applyFont="1" applyFill="1" applyBorder="1" applyAlignment="1">
      <alignment horizontal="center" vertical="center"/>
    </xf>
    <xf numFmtId="0" fontId="25" fillId="12" borderId="12" xfId="0" applyFont="1" applyFill="1" applyBorder="1" applyAlignment="1">
      <alignment horizontal="center" vertical="center"/>
    </xf>
    <xf numFmtId="0" fontId="14" fillId="0" borderId="0" xfId="0" applyFont="1"/>
    <xf numFmtId="0" fontId="6" fillId="0" borderId="0" xfId="0" applyFont="1" applyAlignment="1">
      <alignment horizontal="right" vertical="center" wrapText="1"/>
    </xf>
    <xf numFmtId="0" fontId="26" fillId="12" borderId="0" xfId="0" applyFont="1" applyFill="1" applyAlignment="1">
      <alignment horizontal="center"/>
    </xf>
  </cellXfs>
  <cellStyles count="1">
    <cellStyle name="Normal" xfId="0" builtinId="0"/>
  </cellStyles>
  <dxfs count="68">
    <dxf>
      <font>
        <b/>
        <i val="0"/>
        <color theme="0"/>
      </font>
      <fill>
        <patternFill>
          <bgColor rgb="FFFF0000"/>
        </patternFill>
      </fill>
    </dxf>
    <dxf>
      <font>
        <b/>
        <i val="0"/>
        <color theme="2"/>
      </font>
      <fill>
        <patternFill>
          <bgColor rgb="FF00B050"/>
        </patternFill>
      </fill>
    </dxf>
    <dxf>
      <font>
        <b val="0"/>
        <i val="0"/>
        <strike val="0"/>
        <condense val="0"/>
        <extend val="0"/>
        <outline val="0"/>
        <shadow val="0"/>
        <u val="none"/>
        <vertAlign val="baseline"/>
        <sz val="10"/>
        <color theme="1"/>
        <name val="Arial"/>
        <scheme val="minor"/>
      </font>
      <numFmt numFmtId="0" formatCode="General"/>
    </dxf>
    <dxf>
      <font>
        <b/>
        <i val="0"/>
        <strike val="0"/>
        <condense val="0"/>
        <extend val="0"/>
        <outline val="0"/>
        <shadow val="0"/>
        <u val="none"/>
        <vertAlign val="baseline"/>
        <sz val="10"/>
        <color rgb="FF000000"/>
        <name val="Arial"/>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right"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rgb="FF000000"/>
        <name val="Arial"/>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rgb="FF000000"/>
        <name val="Arial"/>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numFmt numFmtId="0" formatCode="General"/>
    </dxf>
    <dxf>
      <fill>
        <patternFill patternType="none">
          <fgColor indexed="64"/>
          <bgColor auto="1"/>
        </patternFill>
      </fill>
    </dxf>
    <dxf>
      <font>
        <b val="0"/>
        <i val="0"/>
        <strike val="0"/>
        <condense val="0"/>
        <extend val="0"/>
        <outline val="0"/>
        <shadow val="0"/>
        <u val="none"/>
        <vertAlign val="baseline"/>
        <sz val="10"/>
        <color rgb="FF000000"/>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0"/>
        <color theme="1"/>
        <name val="Arial"/>
        <scheme val="minor"/>
      </font>
      <numFmt numFmtId="2" formatCode="0.00"/>
      <alignment horizont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yyyy/mm/dd\ hh:mm:ss"/>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yyyy/mm/dd\ hh:mm:ss"/>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border outline="0">
        <top style="thin">
          <color rgb="FF000000"/>
        </top>
      </border>
    </dxf>
    <dxf>
      <font>
        <b val="0"/>
        <i val="0"/>
        <strike val="0"/>
        <condense val="0"/>
        <extend val="0"/>
        <outline val="0"/>
        <shadow val="0"/>
        <u val="none"/>
        <vertAlign val="baseline"/>
        <sz val="10"/>
        <color theme="1"/>
        <name val="Arial"/>
        <scheme val="minor"/>
      </font>
    </dxf>
    <dxf>
      <border outline="0">
        <bottom style="thin">
          <color rgb="FF000000"/>
        </bottom>
      </border>
    </dxf>
    <dxf>
      <font>
        <b/>
        <i val="0"/>
        <strike val="0"/>
        <condense val="0"/>
        <extend val="0"/>
        <outline val="0"/>
        <shadow val="0"/>
        <u val="none"/>
        <vertAlign val="baseline"/>
        <sz val="10"/>
        <color theme="1"/>
        <name val="Arial"/>
        <scheme val="minor"/>
      </font>
      <alignment horizontal="center" vertical="top" textRotation="0" wrapText="0" indent="0" justifyLastLine="0" shrinkToFit="0" readingOrder="0"/>
      <border diagonalUp="0" diagonalDown="0" outline="0">
        <left style="thin">
          <color rgb="FF000000"/>
        </left>
        <right style="thin">
          <color rgb="FF000000"/>
        </right>
        <top/>
        <bottom/>
      </border>
    </dxf>
    <dxf>
      <numFmt numFmtId="14" formatCode="0.00%"/>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0"/>
        <color theme="1"/>
        <name val="Arial"/>
        <family val="2"/>
        <scheme val="minor"/>
      </font>
      <fill>
        <patternFill patternType="solid">
          <fgColor theme="4" tint="0.79998168889431442"/>
          <bgColor theme="4" tint="0.79998168889431442"/>
        </patternFill>
      </fill>
    </dxf>
    <dxf>
      <numFmt numFmtId="2" formatCode="0.00"/>
    </dxf>
    <dxf>
      <numFmt numFmtId="2" formatCode="0.00"/>
    </dxf>
    <dxf>
      <font>
        <b val="0"/>
        <i val="0"/>
        <strike val="0"/>
        <condense val="0"/>
        <extend val="0"/>
        <outline val="0"/>
        <shadow val="0"/>
        <u val="none"/>
        <vertAlign val="baseline"/>
        <sz val="10"/>
        <color rgb="FF000000"/>
        <name val="Arial"/>
        <family val="2"/>
        <scheme val="minor"/>
      </font>
      <numFmt numFmtId="2" formatCode="0.00"/>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9.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pivotCacheDefinition" Target="pivotCache/pivotCacheDefinition5.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1.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Data Quality Issues by Type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'Audit Summary'!$B$1</c:f>
              <c:strCache>
                <c:ptCount val="1"/>
                <c:pt idx="0">
                  <c:v>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'Audit Summary'!$A$2:$A$6</c:f>
              <c:strCache>
                <c:ptCount val="5"/>
                <c:pt idx="0">
                  <c:v>Missing Fields</c:v>
                </c:pt>
                <c:pt idx="1">
                  <c:v>Pending but Solved</c:v>
                </c:pt>
                <c:pt idx="2">
                  <c:v>Resolved Before Created</c:v>
                </c:pt>
                <c:pt idx="3">
                  <c:v>Duplicate Ticket Nos</c:v>
                </c:pt>
                <c:pt idx="4">
                  <c:v>Duplicate Remarks</c:v>
                </c:pt>
              </c:strCache>
            </c:strRef>
          </c:cat>
          <c:val>
            <c:numRef>
              <c:f>'Audit Summary'!$B$2:$B$6</c:f>
              <c:numCache>
                <c:formatCode>General</c:formatCode>
                <c:ptCount val="5"/>
                <c:pt idx="0">
                  <c:v>5</c:v>
                </c:pt>
                <c:pt idx="1">
                  <c:v>0</c:v>
                </c:pt>
                <c:pt idx="2">
                  <c:v>0</c:v>
                </c:pt>
                <c:pt idx="3">
                  <c:v>0</c:v>
                </c:pt>
                <c:pt idx="4">
                  <c:v>171</c:v>
                </c:pt>
              </c:numCache>
            </c:numRef>
          </c:val>
          <c:extLst>
            <c:ext xmlns:c16="http://schemas.microsoft.com/office/drawing/2014/chart" uri="{C3380CC4-5D6E-409C-BE32-E72D297353CC}">
              <c16:uniqueId val="{00000000-C705-41F2-9A96-61F561CE3553}"/>
            </c:ext>
          </c:extLst>
        </c:ser>
        <c:dLbls>
          <c:showLegendKey val="0"/>
          <c:showVal val="0"/>
          <c:showCatName val="0"/>
          <c:showSerName val="0"/>
          <c:showPercent val="0"/>
          <c:showBubbleSize val="0"/>
        </c:dLbls>
        <c:gapWidth val="219"/>
        <c:overlap val="-27"/>
        <c:axId val="1089086575"/>
        <c:axId val="119834607"/>
      </c:barChart>
      <c:catAx>
        <c:axId val="1089086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Issue</a:t>
                </a:r>
                <a:r>
                  <a:rPr lang="en-IN" b="1"/>
                  <a:t> </a:t>
                </a:r>
                <a:r>
                  <a:rPr lang="en-IN" b="1">
                    <a:solidFill>
                      <a:schemeClr val="tx1"/>
                    </a:solidFill>
                  </a:rPr>
                  <a:t>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34607"/>
        <c:crosses val="autoZero"/>
        <c:auto val="1"/>
        <c:lblAlgn val="ctr"/>
        <c:lblOffset val="100"/>
        <c:noMultiLvlLbl val="0"/>
      </c:catAx>
      <c:valAx>
        <c:axId val="119834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baseline="0">
                    <a:solidFill>
                      <a:schemeClr val="tx1"/>
                    </a:solidFill>
                  </a:rPr>
                  <a:t>Number</a:t>
                </a:r>
                <a:r>
                  <a:rPr lang="en-IN" sz="1000" b="1" i="0" u="none" strike="noStrike" baseline="0"/>
                  <a:t> </a:t>
                </a:r>
                <a:r>
                  <a:rPr lang="en-IN" sz="1000" b="1" i="0" u="none" strike="noStrike" baseline="0">
                    <a:solidFill>
                      <a:schemeClr val="tx1"/>
                    </a:solidFill>
                  </a:rPr>
                  <a:t>of</a:t>
                </a:r>
                <a:r>
                  <a:rPr lang="en-IN" sz="1000" b="1" i="0" u="none" strike="noStrike" baseline="0"/>
                  <a:t> </a:t>
                </a:r>
                <a:r>
                  <a:rPr lang="en-IN" sz="1000" b="1" i="0" u="none" strike="noStrike" baseline="0">
                    <a:solidFill>
                      <a:schemeClr val="tx1"/>
                    </a:solidFill>
                  </a:rPr>
                  <a:t>Tickets</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08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Issue Types by Frequency </a:t>
            </a:r>
          </a:p>
          <a:p>
            <a:pPr>
              <a:defRPr/>
            </a:pPr>
            <a:r>
              <a:rPr lang="en-IN"/>
              <a:t>(% of Total Tickets)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manualLayout>
          <c:layoutTarget val="inner"/>
          <c:xMode val="edge"/>
          <c:yMode val="edge"/>
          <c:x val="5.1789230330203932E-2"/>
          <c:y val="0.17162157930026156"/>
          <c:w val="0.92471882394308524"/>
          <c:h val="0.61973993397614568"/>
        </c:manualLayout>
      </c:layout>
      <c:barChart>
        <c:barDir val="col"/>
        <c:grouping val="clustered"/>
        <c:varyColors val="0"/>
        <c:ser>
          <c:idx val="0"/>
          <c:order val="0"/>
          <c:tx>
            <c:strRef>
              <c:f>'Strategic Analysis (Task 2A)'!$B$27</c:f>
              <c:strCache>
                <c:ptCount val="1"/>
                <c:pt idx="0">
                  <c:v>Ticket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'Strategic Analysis (Task 2A)'!$A$28:$A$32</c:f>
              <c:strCache>
                <c:ptCount val="5"/>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strCache>
            </c:strRef>
          </c:cat>
          <c:val>
            <c:numRef>
              <c:f>'Strategic Analysis (Task 2A)'!$B$28:$B$32</c:f>
              <c:numCache>
                <c:formatCode>General</c:formatCode>
                <c:ptCount val="5"/>
                <c:pt idx="0">
                  <c:v>21</c:v>
                </c:pt>
                <c:pt idx="1">
                  <c:v>19</c:v>
                </c:pt>
                <c:pt idx="2">
                  <c:v>18</c:v>
                </c:pt>
                <c:pt idx="3">
                  <c:v>18</c:v>
                </c:pt>
                <c:pt idx="4">
                  <c:v>18</c:v>
                </c:pt>
              </c:numCache>
            </c:numRef>
          </c:val>
          <c:extLst>
            <c:ext xmlns:c16="http://schemas.microsoft.com/office/drawing/2014/chart" uri="{C3380CC4-5D6E-409C-BE32-E72D297353CC}">
              <c16:uniqueId val="{00000000-8DE6-4A9F-9B9D-90CED726A744}"/>
            </c:ext>
          </c:extLst>
        </c:ser>
        <c:ser>
          <c:idx val="1"/>
          <c:order val="1"/>
          <c:tx>
            <c:strRef>
              <c:f>'Strategic Analysis (Task 2A)'!$C$27</c:f>
              <c:strCache>
                <c:ptCount val="1"/>
                <c:pt idx="0">
                  <c:v>% of 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'Strategic Analysis (Task 2A)'!$A$28:$A$32</c:f>
              <c:strCache>
                <c:ptCount val="5"/>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strCache>
            </c:strRef>
          </c:cat>
          <c:val>
            <c:numRef>
              <c:f>'Strategic Analysis (Task 2A)'!$C$28:$C$32</c:f>
              <c:numCache>
                <c:formatCode>0.00%</c:formatCode>
                <c:ptCount val="5"/>
                <c:pt idx="0">
                  <c:v>9.3333333333333338E-2</c:v>
                </c:pt>
                <c:pt idx="1">
                  <c:v>8.4444444444444447E-2</c:v>
                </c:pt>
                <c:pt idx="2">
                  <c:v>0.08</c:v>
                </c:pt>
                <c:pt idx="3">
                  <c:v>0.08</c:v>
                </c:pt>
                <c:pt idx="4">
                  <c:v>0.08</c:v>
                </c:pt>
              </c:numCache>
            </c:numRef>
          </c:val>
          <c:extLst>
            <c:ext xmlns:c16="http://schemas.microsoft.com/office/drawing/2014/chart" uri="{C3380CC4-5D6E-409C-BE32-E72D297353CC}">
              <c16:uniqueId val="{00000001-8DE6-4A9F-9B9D-90CED726A744}"/>
            </c:ext>
          </c:extLst>
        </c:ser>
        <c:dLbls>
          <c:showLegendKey val="0"/>
          <c:showVal val="0"/>
          <c:showCatName val="0"/>
          <c:showSerName val="0"/>
          <c:showPercent val="0"/>
          <c:showBubbleSize val="0"/>
        </c:dLbls>
        <c:gapWidth val="100"/>
        <c:overlap val="-24"/>
        <c:axId val="1233071695"/>
        <c:axId val="1233072175"/>
      </c:barChart>
      <c:catAx>
        <c:axId val="12330716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3072175"/>
        <c:crosses val="autoZero"/>
        <c:auto val="1"/>
        <c:lblAlgn val="ctr"/>
        <c:lblOffset val="100"/>
        <c:noMultiLvlLbl val="0"/>
      </c:catAx>
      <c:valAx>
        <c:axId val="12330721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3071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Data_ NPS Tracker_2025.xlsx]Strategic Analysis (Task 2A)!PivotTable3</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Issue Distribution Across Programs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'Strategic Analysis (Task 2A)'!$B$89:$B$90</c:f>
              <c:strCache>
                <c:ptCount val="1"/>
                <c:pt idx="0">
                  <c:v>AIML</c:v>
                </c:pt>
              </c:strCache>
            </c:strRef>
          </c:tx>
          <c:spPr>
            <a:solidFill>
              <a:srgbClr val="00B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'Strategic Analysis (Task 2A)'!$A$91:$A$105</c:f>
              <c:strCache>
                <c:ptCount val="14"/>
                <c:pt idx="0">
                  <c:v>Looking For Career Guidance (NPS)</c:v>
                </c:pt>
                <c:pt idx="1">
                  <c:v>False Promise By Sales Team (NPS)</c:v>
                </c:pt>
                <c:pt idx="2">
                  <c:v>Mentor Support Related Concerns (NPS)</c:v>
                </c:pt>
                <c:pt idx="3">
                  <c:v>Time Management Related Concerns (NPS)</c:v>
                </c:pt>
                <c:pt idx="4">
                  <c:v>Applied for jobs but no satisfactory outcome (NPS)</c:v>
                </c:pt>
                <c:pt idx="5">
                  <c:v>Frequent Resume Rejection (NPS)</c:v>
                </c:pt>
                <c:pt idx="6">
                  <c:v>Projects &amp; Assignment Related Concern (NPS)</c:v>
                </c:pt>
                <c:pt idx="7">
                  <c:v>Unhappy With The Class Timings (NPS)</c:v>
                </c:pt>
                <c:pt idx="8">
                  <c:v>Lecture Notes Related (NPS)</c:v>
                </c:pt>
                <c:pt idx="9">
                  <c:v>Instructor Related Feedback (NPS)</c:v>
                </c:pt>
                <c:pt idx="10">
                  <c:v>Not eligible for placements (NPS)</c:v>
                </c:pt>
                <c:pt idx="11">
                  <c:v>TA Support Related Concerns (NPS)</c:v>
                </c:pt>
                <c:pt idx="12">
                  <c:v>Poor Class video quality (NPS)</c:v>
                </c:pt>
                <c:pt idx="13">
                  <c:v>Unhappy With Course Curriculum (NPS)</c:v>
                </c:pt>
              </c:strCache>
            </c:strRef>
          </c:cat>
          <c:val>
            <c:numRef>
              <c:f>'Strategic Analysis (Task 2A)'!$B$91:$B$105</c:f>
              <c:numCache>
                <c:formatCode>General</c:formatCode>
                <c:ptCount val="14"/>
                <c:pt idx="0">
                  <c:v>5</c:v>
                </c:pt>
                <c:pt idx="1">
                  <c:v>5</c:v>
                </c:pt>
                <c:pt idx="2">
                  <c:v>2</c:v>
                </c:pt>
                <c:pt idx="3">
                  <c:v>5</c:v>
                </c:pt>
                <c:pt idx="4">
                  <c:v>8</c:v>
                </c:pt>
                <c:pt idx="5">
                  <c:v>1</c:v>
                </c:pt>
                <c:pt idx="6">
                  <c:v>1</c:v>
                </c:pt>
                <c:pt idx="7">
                  <c:v>2</c:v>
                </c:pt>
                <c:pt idx="8">
                  <c:v>3</c:v>
                </c:pt>
                <c:pt idx="9">
                  <c:v>3</c:v>
                </c:pt>
                <c:pt idx="10">
                  <c:v>4</c:v>
                </c:pt>
                <c:pt idx="11">
                  <c:v>4</c:v>
                </c:pt>
                <c:pt idx="12">
                  <c:v>1</c:v>
                </c:pt>
                <c:pt idx="13">
                  <c:v>3</c:v>
                </c:pt>
              </c:numCache>
            </c:numRef>
          </c:val>
          <c:extLst>
            <c:ext xmlns:c16="http://schemas.microsoft.com/office/drawing/2014/chart" uri="{C3380CC4-5D6E-409C-BE32-E72D297353CC}">
              <c16:uniqueId val="{00000000-F65F-4F18-83EC-27360436D433}"/>
            </c:ext>
          </c:extLst>
        </c:ser>
        <c:ser>
          <c:idx val="1"/>
          <c:order val="1"/>
          <c:tx>
            <c:strRef>
              <c:f>'Strategic Analysis (Task 2A)'!$C$89:$C$90</c:f>
              <c:strCache>
                <c:ptCount val="1"/>
                <c:pt idx="0">
                  <c:v>DevOps</c:v>
                </c:pt>
              </c:strCache>
            </c:strRef>
          </c:tx>
          <c:spPr>
            <a:solidFill>
              <a:schemeClr val="accent5"/>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'Strategic Analysis (Task 2A)'!$A$91:$A$105</c:f>
              <c:strCache>
                <c:ptCount val="14"/>
                <c:pt idx="0">
                  <c:v>Looking For Career Guidance (NPS)</c:v>
                </c:pt>
                <c:pt idx="1">
                  <c:v>False Promise By Sales Team (NPS)</c:v>
                </c:pt>
                <c:pt idx="2">
                  <c:v>Mentor Support Related Concerns (NPS)</c:v>
                </c:pt>
                <c:pt idx="3">
                  <c:v>Time Management Related Concerns (NPS)</c:v>
                </c:pt>
                <c:pt idx="4">
                  <c:v>Applied for jobs but no satisfactory outcome (NPS)</c:v>
                </c:pt>
                <c:pt idx="5">
                  <c:v>Frequent Resume Rejection (NPS)</c:v>
                </c:pt>
                <c:pt idx="6">
                  <c:v>Projects &amp; Assignment Related Concern (NPS)</c:v>
                </c:pt>
                <c:pt idx="7">
                  <c:v>Unhappy With The Class Timings (NPS)</c:v>
                </c:pt>
                <c:pt idx="8">
                  <c:v>Lecture Notes Related (NPS)</c:v>
                </c:pt>
                <c:pt idx="9">
                  <c:v>Instructor Related Feedback (NPS)</c:v>
                </c:pt>
                <c:pt idx="10">
                  <c:v>Not eligible for placements (NPS)</c:v>
                </c:pt>
                <c:pt idx="11">
                  <c:v>TA Support Related Concerns (NPS)</c:v>
                </c:pt>
                <c:pt idx="12">
                  <c:v>Poor Class video quality (NPS)</c:v>
                </c:pt>
                <c:pt idx="13">
                  <c:v>Unhappy With Course Curriculum (NPS)</c:v>
                </c:pt>
              </c:strCache>
            </c:strRef>
          </c:cat>
          <c:val>
            <c:numRef>
              <c:f>'Strategic Analysis (Task 2A)'!$C$91:$C$105</c:f>
              <c:numCache>
                <c:formatCode>General</c:formatCode>
                <c:ptCount val="14"/>
                <c:pt idx="0">
                  <c:v>4</c:v>
                </c:pt>
                <c:pt idx="1">
                  <c:v>3</c:v>
                </c:pt>
                <c:pt idx="2">
                  <c:v>7</c:v>
                </c:pt>
                <c:pt idx="3">
                  <c:v>4</c:v>
                </c:pt>
                <c:pt idx="4">
                  <c:v>2</c:v>
                </c:pt>
                <c:pt idx="5">
                  <c:v>6</c:v>
                </c:pt>
                <c:pt idx="6">
                  <c:v>4</c:v>
                </c:pt>
                <c:pt idx="7">
                  <c:v>4</c:v>
                </c:pt>
                <c:pt idx="8">
                  <c:v>5</c:v>
                </c:pt>
                <c:pt idx="9">
                  <c:v>3</c:v>
                </c:pt>
                <c:pt idx="10">
                  <c:v>3</c:v>
                </c:pt>
                <c:pt idx="11">
                  <c:v>2</c:v>
                </c:pt>
                <c:pt idx="12">
                  <c:v>4</c:v>
                </c:pt>
                <c:pt idx="13">
                  <c:v>1</c:v>
                </c:pt>
              </c:numCache>
            </c:numRef>
          </c:val>
          <c:extLst>
            <c:ext xmlns:c16="http://schemas.microsoft.com/office/drawing/2014/chart" uri="{C3380CC4-5D6E-409C-BE32-E72D297353CC}">
              <c16:uniqueId val="{00000003-DCF4-4FAB-BBE5-197DE0587F00}"/>
            </c:ext>
          </c:extLst>
        </c:ser>
        <c:ser>
          <c:idx val="2"/>
          <c:order val="2"/>
          <c:tx>
            <c:strRef>
              <c:f>'Strategic Analysis (Task 2A)'!$D$89:$D$90</c:f>
              <c:strCache>
                <c:ptCount val="1"/>
                <c:pt idx="0">
                  <c:v>DSML</c:v>
                </c:pt>
              </c:strCache>
            </c:strRef>
          </c:tx>
          <c:spPr>
            <a:solidFill>
              <a:srgbClr val="7030A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'Strategic Analysis (Task 2A)'!$A$91:$A$105</c:f>
              <c:strCache>
                <c:ptCount val="14"/>
                <c:pt idx="0">
                  <c:v>Looking For Career Guidance (NPS)</c:v>
                </c:pt>
                <c:pt idx="1">
                  <c:v>False Promise By Sales Team (NPS)</c:v>
                </c:pt>
                <c:pt idx="2">
                  <c:v>Mentor Support Related Concerns (NPS)</c:v>
                </c:pt>
                <c:pt idx="3">
                  <c:v>Time Management Related Concerns (NPS)</c:v>
                </c:pt>
                <c:pt idx="4">
                  <c:v>Applied for jobs but no satisfactory outcome (NPS)</c:v>
                </c:pt>
                <c:pt idx="5">
                  <c:v>Frequent Resume Rejection (NPS)</c:v>
                </c:pt>
                <c:pt idx="6">
                  <c:v>Projects &amp; Assignment Related Concern (NPS)</c:v>
                </c:pt>
                <c:pt idx="7">
                  <c:v>Unhappy With The Class Timings (NPS)</c:v>
                </c:pt>
                <c:pt idx="8">
                  <c:v>Lecture Notes Related (NPS)</c:v>
                </c:pt>
                <c:pt idx="9">
                  <c:v>Instructor Related Feedback (NPS)</c:v>
                </c:pt>
                <c:pt idx="10">
                  <c:v>Not eligible for placements (NPS)</c:v>
                </c:pt>
                <c:pt idx="11">
                  <c:v>TA Support Related Concerns (NPS)</c:v>
                </c:pt>
                <c:pt idx="12">
                  <c:v>Poor Class video quality (NPS)</c:v>
                </c:pt>
                <c:pt idx="13">
                  <c:v>Unhappy With Course Curriculum (NPS)</c:v>
                </c:pt>
              </c:strCache>
            </c:strRef>
          </c:cat>
          <c:val>
            <c:numRef>
              <c:f>'Strategic Analysis (Task 2A)'!$D$91:$D$105</c:f>
              <c:numCache>
                <c:formatCode>General</c:formatCode>
                <c:ptCount val="14"/>
                <c:pt idx="0">
                  <c:v>6</c:v>
                </c:pt>
                <c:pt idx="1">
                  <c:v>6</c:v>
                </c:pt>
                <c:pt idx="2">
                  <c:v>5</c:v>
                </c:pt>
                <c:pt idx="3">
                  <c:v>4</c:v>
                </c:pt>
                <c:pt idx="4">
                  <c:v>3</c:v>
                </c:pt>
                <c:pt idx="5">
                  <c:v>5</c:v>
                </c:pt>
                <c:pt idx="6">
                  <c:v>7</c:v>
                </c:pt>
                <c:pt idx="7">
                  <c:v>6</c:v>
                </c:pt>
                <c:pt idx="8">
                  <c:v>3</c:v>
                </c:pt>
                <c:pt idx="9">
                  <c:v>5</c:v>
                </c:pt>
                <c:pt idx="10">
                  <c:v>4</c:v>
                </c:pt>
                <c:pt idx="11">
                  <c:v>3</c:v>
                </c:pt>
                <c:pt idx="12">
                  <c:v>3</c:v>
                </c:pt>
                <c:pt idx="13">
                  <c:v>3</c:v>
                </c:pt>
              </c:numCache>
            </c:numRef>
          </c:val>
          <c:extLst>
            <c:ext xmlns:c16="http://schemas.microsoft.com/office/drawing/2014/chart" uri="{C3380CC4-5D6E-409C-BE32-E72D297353CC}">
              <c16:uniqueId val="{00000004-DCF4-4FAB-BBE5-197DE0587F00}"/>
            </c:ext>
          </c:extLst>
        </c:ser>
        <c:dLbls>
          <c:showLegendKey val="0"/>
          <c:showVal val="0"/>
          <c:showCatName val="0"/>
          <c:showSerName val="0"/>
          <c:showPercent val="0"/>
          <c:showBubbleSize val="0"/>
        </c:dLbls>
        <c:gapWidth val="150"/>
        <c:overlap val="100"/>
        <c:axId val="1035423215"/>
        <c:axId val="1035430415"/>
      </c:barChart>
      <c:catAx>
        <c:axId val="10354232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5430415"/>
        <c:crosses val="autoZero"/>
        <c:auto val="1"/>
        <c:lblAlgn val="ctr"/>
        <c:lblOffset val="100"/>
        <c:noMultiLvlLbl val="0"/>
      </c:catAx>
      <c:valAx>
        <c:axId val="1035430415"/>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542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Resolution Time by Issue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'Strategic Analysis (Task 2A)'!$CO$143</c:f>
              <c:strCache>
                <c:ptCount val="1"/>
                <c:pt idx="0">
                  <c:v>Avg Resolution Time (hrs)</c:v>
                </c:pt>
              </c:strCache>
            </c:strRef>
          </c:tx>
          <c:spPr>
            <a:solidFill>
              <a:schemeClr val="accent2"/>
            </a:solidFill>
            <a:ln>
              <a:noFill/>
            </a:ln>
            <a:effectLst>
              <a:outerShdw blurRad="57150" dist="19050" dir="5400000" algn="ctr" rotWithShape="0">
                <a:srgbClr val="000000">
                  <a:alpha val="63000"/>
                </a:srgbClr>
              </a:outerShdw>
            </a:effectLst>
          </c:spPr>
          <c:invertIfNegative val="0"/>
          <c:dLbls>
            <c:numFmt formatCode="#,##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'Strategic Analysis (Task 2A)'!$CN$144:$CN$157</c:f>
              <c:strCache>
                <c:ptCount val="14"/>
                <c:pt idx="0">
                  <c:v>False Promise By Sales Team (NPS)</c:v>
                </c:pt>
                <c:pt idx="1">
                  <c:v>Unhappy With Course Curriculum (NPS)</c:v>
                </c:pt>
                <c:pt idx="2">
                  <c:v>Time Management Related Concerns (NPS)</c:v>
                </c:pt>
                <c:pt idx="3">
                  <c:v>Poor Class video quality (NPS)</c:v>
                </c:pt>
                <c:pt idx="4">
                  <c:v>Instructor Related Feedback (NPS)</c:v>
                </c:pt>
                <c:pt idx="5">
                  <c:v>TA Support Related Concerns (NPS)</c:v>
                </c:pt>
                <c:pt idx="6">
                  <c:v>Mentor Support Related Concerns (NPS)</c:v>
                </c:pt>
                <c:pt idx="7">
                  <c:v>Frequent Resume Rejection (NPS)</c:v>
                </c:pt>
                <c:pt idx="8">
                  <c:v>Applied for jobs but no satisfactory outcome (NPS)</c:v>
                </c:pt>
                <c:pt idx="9">
                  <c:v>Not eligible for placements (NPS)</c:v>
                </c:pt>
                <c:pt idx="10">
                  <c:v>Looking For Career Guidance (NPS)</c:v>
                </c:pt>
                <c:pt idx="11">
                  <c:v>Unhappy With The Class Timings (NPS)</c:v>
                </c:pt>
                <c:pt idx="12">
                  <c:v>Lecture Notes Related (NPS)</c:v>
                </c:pt>
                <c:pt idx="13">
                  <c:v>Projects &amp; Assignment Related Concern (NPS)</c:v>
                </c:pt>
              </c:strCache>
            </c:strRef>
          </c:cat>
          <c:val>
            <c:numRef>
              <c:f>'Strategic Analysis (Task 2A)'!$CO$144:$CO$157</c:f>
              <c:numCache>
                <c:formatCode>General</c:formatCode>
                <c:ptCount val="14"/>
                <c:pt idx="0">
                  <c:v>151.38149691358558</c:v>
                </c:pt>
                <c:pt idx="1">
                  <c:v>130.95847222222946</c:v>
                </c:pt>
                <c:pt idx="2">
                  <c:v>129.14754629631838</c:v>
                </c:pt>
                <c:pt idx="3">
                  <c:v>126.44222222220768</c:v>
                </c:pt>
                <c:pt idx="4">
                  <c:v>121.87065476191181</c:v>
                </c:pt>
                <c:pt idx="5">
                  <c:v>119.56934027777606</c:v>
                </c:pt>
                <c:pt idx="6">
                  <c:v>118.97735294116907</c:v>
                </c:pt>
                <c:pt idx="7">
                  <c:v>109.94550347222321</c:v>
                </c:pt>
                <c:pt idx="8">
                  <c:v>109.1579824561486</c:v>
                </c:pt>
                <c:pt idx="9">
                  <c:v>105.71630952379201</c:v>
                </c:pt>
                <c:pt idx="10">
                  <c:v>101.80334656083558</c:v>
                </c:pt>
                <c:pt idx="11">
                  <c:v>101.11819444444336</c:v>
                </c:pt>
                <c:pt idx="12">
                  <c:v>99.899583333313259</c:v>
                </c:pt>
                <c:pt idx="13">
                  <c:v>74.307160493830452</c:v>
                </c:pt>
              </c:numCache>
            </c:numRef>
          </c:val>
          <c:extLst>
            <c:ext xmlns:c16="http://schemas.microsoft.com/office/drawing/2014/chart" uri="{C3380CC4-5D6E-409C-BE32-E72D297353CC}">
              <c16:uniqueId val="{00000000-C537-4210-B013-DFCA70BF758E}"/>
            </c:ext>
          </c:extLst>
        </c:ser>
        <c:dLbls>
          <c:showLegendKey val="0"/>
          <c:showVal val="0"/>
          <c:showCatName val="0"/>
          <c:showSerName val="0"/>
          <c:showPercent val="0"/>
          <c:showBubbleSize val="0"/>
        </c:dLbls>
        <c:gapWidth val="100"/>
        <c:overlap val="-24"/>
        <c:axId val="779052895"/>
        <c:axId val="779048575"/>
      </c:barChart>
      <c:catAx>
        <c:axId val="7790528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9048575"/>
        <c:crosses val="autoZero"/>
        <c:auto val="1"/>
        <c:lblAlgn val="ctr"/>
        <c:lblOffset val="100"/>
        <c:noMultiLvlLbl val="0"/>
      </c:catAx>
      <c:valAx>
        <c:axId val="7790485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905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Data_ NPS Tracker_2025.xlsx]Trend Analysis (Task 2B)!PivotTable1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Weekly Ticket Volume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5"/>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 (Task 2B)'!$B$4</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'Trend Analysis (Task 2B)'!$A$5:$A$13</c:f>
              <c:strCache>
                <c:ptCount val="8"/>
                <c:pt idx="0">
                  <c:v>2025-31</c:v>
                </c:pt>
                <c:pt idx="1">
                  <c:v>2025-32</c:v>
                </c:pt>
                <c:pt idx="2">
                  <c:v>2025-33</c:v>
                </c:pt>
                <c:pt idx="3">
                  <c:v>2025-34</c:v>
                </c:pt>
                <c:pt idx="4">
                  <c:v>2025-35</c:v>
                </c:pt>
                <c:pt idx="5">
                  <c:v>2025-36</c:v>
                </c:pt>
                <c:pt idx="6">
                  <c:v>2025-37</c:v>
                </c:pt>
                <c:pt idx="7">
                  <c:v>2025-38</c:v>
                </c:pt>
              </c:strCache>
            </c:strRef>
          </c:cat>
          <c:val>
            <c:numRef>
              <c:f>'Trend Analysis (Task 2B)'!$B$5:$B$13</c:f>
              <c:numCache>
                <c:formatCode>General</c:formatCode>
                <c:ptCount val="8"/>
                <c:pt idx="0">
                  <c:v>15</c:v>
                </c:pt>
                <c:pt idx="1">
                  <c:v>32</c:v>
                </c:pt>
                <c:pt idx="2">
                  <c:v>24</c:v>
                </c:pt>
                <c:pt idx="3">
                  <c:v>35</c:v>
                </c:pt>
                <c:pt idx="4">
                  <c:v>34</c:v>
                </c:pt>
                <c:pt idx="5">
                  <c:v>18</c:v>
                </c:pt>
                <c:pt idx="6">
                  <c:v>33</c:v>
                </c:pt>
                <c:pt idx="7">
                  <c:v>34</c:v>
                </c:pt>
              </c:numCache>
            </c:numRef>
          </c:val>
          <c:smooth val="0"/>
          <c:extLst>
            <c:ext xmlns:c16="http://schemas.microsoft.com/office/drawing/2014/chart" uri="{C3380CC4-5D6E-409C-BE32-E72D297353CC}">
              <c16:uniqueId val="{00000000-EBCE-44C2-AEFA-4BF3CCD83BBC}"/>
            </c:ext>
          </c:extLst>
        </c:ser>
        <c:dLbls>
          <c:dLblPos val="t"/>
          <c:showLegendKey val="0"/>
          <c:showVal val="1"/>
          <c:showCatName val="0"/>
          <c:showSerName val="0"/>
          <c:showPercent val="0"/>
          <c:showBubbleSize val="0"/>
        </c:dLbls>
        <c:marker val="1"/>
        <c:smooth val="0"/>
        <c:axId val="779061535"/>
        <c:axId val="779049535"/>
      </c:lineChart>
      <c:catAx>
        <c:axId val="77906153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9049535"/>
        <c:crosses val="autoZero"/>
        <c:auto val="1"/>
        <c:lblAlgn val="ctr"/>
        <c:lblOffset val="100"/>
        <c:noMultiLvlLbl val="0"/>
      </c:catAx>
      <c:valAx>
        <c:axId val="7790495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906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Data_ NPS Tracker_2025.xlsx]Trend Analysis (Task 2B)!PivotTable2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baseline="0">
                <a:effectLst>
                  <a:outerShdw blurRad="50800" dist="38100" dir="5400000" algn="t" rotWithShape="0">
                    <a:prstClr val="black">
                      <a:alpha val="40000"/>
                    </a:prstClr>
                  </a:outerShdw>
                </a:effectLst>
              </a:rPr>
              <a:t>Monthly Ticket Volume Trend</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B05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 Analysis (Task 2B)'!$B$35</c:f>
              <c:strCache>
                <c:ptCount val="1"/>
                <c:pt idx="0">
                  <c:v>Total</c:v>
                </c:pt>
              </c:strCache>
            </c:strRef>
          </c:tx>
          <c:spPr>
            <a:solidFill>
              <a:srgbClr val="00B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'Trend Analysis (Task 2B)'!$A$36:$A$38</c:f>
              <c:strCache>
                <c:ptCount val="2"/>
                <c:pt idx="0">
                  <c:v>2025-08</c:v>
                </c:pt>
                <c:pt idx="1">
                  <c:v>2025-09</c:v>
                </c:pt>
              </c:strCache>
            </c:strRef>
          </c:cat>
          <c:val>
            <c:numRef>
              <c:f>'Trend Analysis (Task 2B)'!$B$36:$B$38</c:f>
              <c:numCache>
                <c:formatCode>General</c:formatCode>
                <c:ptCount val="2"/>
                <c:pt idx="0">
                  <c:v>140</c:v>
                </c:pt>
                <c:pt idx="1">
                  <c:v>85</c:v>
                </c:pt>
              </c:numCache>
            </c:numRef>
          </c:val>
          <c:extLst>
            <c:ext xmlns:c16="http://schemas.microsoft.com/office/drawing/2014/chart" uri="{C3380CC4-5D6E-409C-BE32-E72D297353CC}">
              <c16:uniqueId val="{00000000-3D82-4B27-A98B-BE054A78D2B5}"/>
            </c:ext>
          </c:extLst>
        </c:ser>
        <c:dLbls>
          <c:dLblPos val="outEnd"/>
          <c:showLegendKey val="0"/>
          <c:showVal val="1"/>
          <c:showCatName val="0"/>
          <c:showSerName val="0"/>
          <c:showPercent val="0"/>
          <c:showBubbleSize val="0"/>
        </c:dLbls>
        <c:gapWidth val="100"/>
        <c:overlap val="-24"/>
        <c:axId val="779164735"/>
        <c:axId val="779162815"/>
      </c:barChart>
      <c:catAx>
        <c:axId val="7791647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9162815"/>
        <c:crosses val="autoZero"/>
        <c:auto val="1"/>
        <c:lblAlgn val="ctr"/>
        <c:lblOffset val="100"/>
        <c:noMultiLvlLbl val="0"/>
      </c:catAx>
      <c:valAx>
        <c:axId val="7791628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916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Data_ NPS Tracker_2025.xlsx]Trend Analysis (Task 2B)!PivotTable3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Issue Distribution Across Programs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'Trend Analysis (Task 2B)'!$B$62:$B$63</c:f>
              <c:strCache>
                <c:ptCount val="1"/>
                <c:pt idx="0">
                  <c:v>Academy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Analysis (Task 2B)'!$A$64:$A$78</c:f>
              <c:strCache>
                <c:ptCount val="14"/>
                <c:pt idx="0">
                  <c:v>Applied for jobs but no satisfactory outcome (NPS)</c:v>
                </c:pt>
                <c:pt idx="1">
                  <c:v>False Promise By Sales Team (NPS)</c:v>
                </c:pt>
                <c:pt idx="2">
                  <c:v>Frequent Resume Rejection (NPS)</c:v>
                </c:pt>
                <c:pt idx="3">
                  <c:v>Instructor Related Feedback (NPS)</c:v>
                </c:pt>
                <c:pt idx="4">
                  <c:v>Lecture Notes Related (NPS)</c:v>
                </c:pt>
                <c:pt idx="5">
                  <c:v>Looking For Career Guidance (NPS)</c:v>
                </c:pt>
                <c:pt idx="6">
                  <c:v>Mentor Support Related Concerns (NPS)</c:v>
                </c:pt>
                <c:pt idx="7">
                  <c:v>Not eligible for placements (NPS)</c:v>
                </c:pt>
                <c:pt idx="8">
                  <c:v>Poor Class video quality (NPS)</c:v>
                </c:pt>
                <c:pt idx="9">
                  <c:v>Projects &amp; Assignment Related Concern (NPS)</c:v>
                </c:pt>
                <c:pt idx="10">
                  <c:v>TA Support Related Concerns (NPS)</c:v>
                </c:pt>
                <c:pt idx="11">
                  <c:v>Time Management Related Concerns (NPS)</c:v>
                </c:pt>
                <c:pt idx="12">
                  <c:v>Unhappy With Course Curriculum (NPS)</c:v>
                </c:pt>
                <c:pt idx="13">
                  <c:v>Unhappy With The Class Timings (NPS)</c:v>
                </c:pt>
              </c:strCache>
            </c:strRef>
          </c:cat>
          <c:val>
            <c:numRef>
              <c:f>'Trend Analysis (Task 2B)'!$B$64:$B$78</c:f>
              <c:numCache>
                <c:formatCode>General</c:formatCode>
                <c:ptCount val="14"/>
                <c:pt idx="0">
                  <c:v>6</c:v>
                </c:pt>
                <c:pt idx="1">
                  <c:v>4</c:v>
                </c:pt>
                <c:pt idx="2">
                  <c:v>4</c:v>
                </c:pt>
                <c:pt idx="3">
                  <c:v>3</c:v>
                </c:pt>
                <c:pt idx="4">
                  <c:v>3</c:v>
                </c:pt>
                <c:pt idx="5">
                  <c:v>6</c:v>
                </c:pt>
                <c:pt idx="6">
                  <c:v>3</c:v>
                </c:pt>
                <c:pt idx="7">
                  <c:v>3</c:v>
                </c:pt>
                <c:pt idx="8">
                  <c:v>6</c:v>
                </c:pt>
                <c:pt idx="9">
                  <c:v>6</c:v>
                </c:pt>
                <c:pt idx="10">
                  <c:v>7</c:v>
                </c:pt>
                <c:pt idx="11">
                  <c:v>5</c:v>
                </c:pt>
                <c:pt idx="12">
                  <c:v>3</c:v>
                </c:pt>
                <c:pt idx="13">
                  <c:v>4</c:v>
                </c:pt>
              </c:numCache>
            </c:numRef>
          </c:val>
          <c:extLst>
            <c:ext xmlns:c16="http://schemas.microsoft.com/office/drawing/2014/chart" uri="{C3380CC4-5D6E-409C-BE32-E72D297353CC}">
              <c16:uniqueId val="{00000000-DC64-4B9C-907E-136EB99BD394}"/>
            </c:ext>
          </c:extLst>
        </c:ser>
        <c:ser>
          <c:idx val="1"/>
          <c:order val="1"/>
          <c:tx>
            <c:strRef>
              <c:f>'Trend Analysis (Task 2B)'!$C$62:$C$63</c:f>
              <c:strCache>
                <c:ptCount val="1"/>
                <c:pt idx="0">
                  <c:v>AIML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Analysis (Task 2B)'!$A$64:$A$78</c:f>
              <c:strCache>
                <c:ptCount val="14"/>
                <c:pt idx="0">
                  <c:v>Applied for jobs but no satisfactory outcome (NPS)</c:v>
                </c:pt>
                <c:pt idx="1">
                  <c:v>False Promise By Sales Team (NPS)</c:v>
                </c:pt>
                <c:pt idx="2">
                  <c:v>Frequent Resume Rejection (NPS)</c:v>
                </c:pt>
                <c:pt idx="3">
                  <c:v>Instructor Related Feedback (NPS)</c:v>
                </c:pt>
                <c:pt idx="4">
                  <c:v>Lecture Notes Related (NPS)</c:v>
                </c:pt>
                <c:pt idx="5">
                  <c:v>Looking For Career Guidance (NPS)</c:v>
                </c:pt>
                <c:pt idx="6">
                  <c:v>Mentor Support Related Concerns (NPS)</c:v>
                </c:pt>
                <c:pt idx="7">
                  <c:v>Not eligible for placements (NPS)</c:v>
                </c:pt>
                <c:pt idx="8">
                  <c:v>Poor Class video quality (NPS)</c:v>
                </c:pt>
                <c:pt idx="9">
                  <c:v>Projects &amp; Assignment Related Concern (NPS)</c:v>
                </c:pt>
                <c:pt idx="10">
                  <c:v>TA Support Related Concerns (NPS)</c:v>
                </c:pt>
                <c:pt idx="11">
                  <c:v>Time Management Related Concerns (NPS)</c:v>
                </c:pt>
                <c:pt idx="12">
                  <c:v>Unhappy With Course Curriculum (NPS)</c:v>
                </c:pt>
                <c:pt idx="13">
                  <c:v>Unhappy With The Class Timings (NPS)</c:v>
                </c:pt>
              </c:strCache>
            </c:strRef>
          </c:cat>
          <c:val>
            <c:numRef>
              <c:f>'Trend Analysis (Task 2B)'!$C$64:$C$78</c:f>
              <c:numCache>
                <c:formatCode>General</c:formatCode>
                <c:ptCount val="14"/>
                <c:pt idx="0">
                  <c:v>8</c:v>
                </c:pt>
                <c:pt idx="1">
                  <c:v>5</c:v>
                </c:pt>
                <c:pt idx="2">
                  <c:v>1</c:v>
                </c:pt>
                <c:pt idx="3">
                  <c:v>3</c:v>
                </c:pt>
                <c:pt idx="4">
                  <c:v>3</c:v>
                </c:pt>
                <c:pt idx="5">
                  <c:v>5</c:v>
                </c:pt>
                <c:pt idx="6">
                  <c:v>2</c:v>
                </c:pt>
                <c:pt idx="7">
                  <c:v>4</c:v>
                </c:pt>
                <c:pt idx="8">
                  <c:v>1</c:v>
                </c:pt>
                <c:pt idx="9">
                  <c:v>1</c:v>
                </c:pt>
                <c:pt idx="10">
                  <c:v>4</c:v>
                </c:pt>
                <c:pt idx="11">
                  <c:v>5</c:v>
                </c:pt>
                <c:pt idx="12">
                  <c:v>3</c:v>
                </c:pt>
                <c:pt idx="13">
                  <c:v>2</c:v>
                </c:pt>
              </c:numCache>
            </c:numRef>
          </c:val>
          <c:extLst>
            <c:ext xmlns:c16="http://schemas.microsoft.com/office/drawing/2014/chart" uri="{C3380CC4-5D6E-409C-BE32-E72D297353CC}">
              <c16:uniqueId val="{00000001-DC64-4B9C-907E-136EB99BD394}"/>
            </c:ext>
          </c:extLst>
        </c:ser>
        <c:ser>
          <c:idx val="2"/>
          <c:order val="2"/>
          <c:tx>
            <c:strRef>
              <c:f>'Trend Analysis (Task 2B)'!$D$62:$D$63</c:f>
              <c:strCache>
                <c:ptCount val="1"/>
                <c:pt idx="0">
                  <c:v>DevOps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Analysis (Task 2B)'!$A$64:$A$78</c:f>
              <c:strCache>
                <c:ptCount val="14"/>
                <c:pt idx="0">
                  <c:v>Applied for jobs but no satisfactory outcome (NPS)</c:v>
                </c:pt>
                <c:pt idx="1">
                  <c:v>False Promise By Sales Team (NPS)</c:v>
                </c:pt>
                <c:pt idx="2">
                  <c:v>Frequent Resume Rejection (NPS)</c:v>
                </c:pt>
                <c:pt idx="3">
                  <c:v>Instructor Related Feedback (NPS)</c:v>
                </c:pt>
                <c:pt idx="4">
                  <c:v>Lecture Notes Related (NPS)</c:v>
                </c:pt>
                <c:pt idx="5">
                  <c:v>Looking For Career Guidance (NPS)</c:v>
                </c:pt>
                <c:pt idx="6">
                  <c:v>Mentor Support Related Concerns (NPS)</c:v>
                </c:pt>
                <c:pt idx="7">
                  <c:v>Not eligible for placements (NPS)</c:v>
                </c:pt>
                <c:pt idx="8">
                  <c:v>Poor Class video quality (NPS)</c:v>
                </c:pt>
                <c:pt idx="9">
                  <c:v>Projects &amp; Assignment Related Concern (NPS)</c:v>
                </c:pt>
                <c:pt idx="10">
                  <c:v>TA Support Related Concerns (NPS)</c:v>
                </c:pt>
                <c:pt idx="11">
                  <c:v>Time Management Related Concerns (NPS)</c:v>
                </c:pt>
                <c:pt idx="12">
                  <c:v>Unhappy With Course Curriculum (NPS)</c:v>
                </c:pt>
                <c:pt idx="13">
                  <c:v>Unhappy With The Class Timings (NPS)</c:v>
                </c:pt>
              </c:strCache>
            </c:strRef>
          </c:cat>
          <c:val>
            <c:numRef>
              <c:f>'Trend Analysis (Task 2B)'!$D$64:$D$78</c:f>
              <c:numCache>
                <c:formatCode>General</c:formatCode>
                <c:ptCount val="14"/>
                <c:pt idx="0">
                  <c:v>2</c:v>
                </c:pt>
                <c:pt idx="1">
                  <c:v>3</c:v>
                </c:pt>
                <c:pt idx="2">
                  <c:v>6</c:v>
                </c:pt>
                <c:pt idx="3">
                  <c:v>3</c:v>
                </c:pt>
                <c:pt idx="4">
                  <c:v>5</c:v>
                </c:pt>
                <c:pt idx="5">
                  <c:v>4</c:v>
                </c:pt>
                <c:pt idx="6">
                  <c:v>7</c:v>
                </c:pt>
                <c:pt idx="7">
                  <c:v>3</c:v>
                </c:pt>
                <c:pt idx="8">
                  <c:v>4</c:v>
                </c:pt>
                <c:pt idx="9">
                  <c:v>4</c:v>
                </c:pt>
                <c:pt idx="10">
                  <c:v>2</c:v>
                </c:pt>
                <c:pt idx="11">
                  <c:v>4</c:v>
                </c:pt>
                <c:pt idx="12">
                  <c:v>1</c:v>
                </c:pt>
                <c:pt idx="13">
                  <c:v>4</c:v>
                </c:pt>
              </c:numCache>
            </c:numRef>
          </c:val>
          <c:extLst>
            <c:ext xmlns:c16="http://schemas.microsoft.com/office/drawing/2014/chart" uri="{C3380CC4-5D6E-409C-BE32-E72D297353CC}">
              <c16:uniqueId val="{00000002-DC64-4B9C-907E-136EB99BD394}"/>
            </c:ext>
          </c:extLst>
        </c:ser>
        <c:ser>
          <c:idx val="3"/>
          <c:order val="3"/>
          <c:tx>
            <c:strRef>
              <c:f>'Trend Analysis (Task 2B)'!$E$62:$E$63</c:f>
              <c:strCache>
                <c:ptCount val="1"/>
                <c:pt idx="0">
                  <c:v>DSML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Analysis (Task 2B)'!$A$64:$A$78</c:f>
              <c:strCache>
                <c:ptCount val="14"/>
                <c:pt idx="0">
                  <c:v>Applied for jobs but no satisfactory outcome (NPS)</c:v>
                </c:pt>
                <c:pt idx="1">
                  <c:v>False Promise By Sales Team (NPS)</c:v>
                </c:pt>
                <c:pt idx="2">
                  <c:v>Frequent Resume Rejection (NPS)</c:v>
                </c:pt>
                <c:pt idx="3">
                  <c:v>Instructor Related Feedback (NPS)</c:v>
                </c:pt>
                <c:pt idx="4">
                  <c:v>Lecture Notes Related (NPS)</c:v>
                </c:pt>
                <c:pt idx="5">
                  <c:v>Looking For Career Guidance (NPS)</c:v>
                </c:pt>
                <c:pt idx="6">
                  <c:v>Mentor Support Related Concerns (NPS)</c:v>
                </c:pt>
                <c:pt idx="7">
                  <c:v>Not eligible for placements (NPS)</c:v>
                </c:pt>
                <c:pt idx="8">
                  <c:v>Poor Class video quality (NPS)</c:v>
                </c:pt>
                <c:pt idx="9">
                  <c:v>Projects &amp; Assignment Related Concern (NPS)</c:v>
                </c:pt>
                <c:pt idx="10">
                  <c:v>TA Support Related Concerns (NPS)</c:v>
                </c:pt>
                <c:pt idx="11">
                  <c:v>Time Management Related Concerns (NPS)</c:v>
                </c:pt>
                <c:pt idx="12">
                  <c:v>Unhappy With Course Curriculum (NPS)</c:v>
                </c:pt>
                <c:pt idx="13">
                  <c:v>Unhappy With The Class Timings (NPS)</c:v>
                </c:pt>
              </c:strCache>
            </c:strRef>
          </c:cat>
          <c:val>
            <c:numRef>
              <c:f>'Trend Analysis (Task 2B)'!$E$64:$E$78</c:f>
              <c:numCache>
                <c:formatCode>General</c:formatCode>
                <c:ptCount val="14"/>
                <c:pt idx="0">
                  <c:v>3</c:v>
                </c:pt>
                <c:pt idx="1">
                  <c:v>6</c:v>
                </c:pt>
                <c:pt idx="2">
                  <c:v>5</c:v>
                </c:pt>
                <c:pt idx="3">
                  <c:v>5</c:v>
                </c:pt>
                <c:pt idx="4">
                  <c:v>3</c:v>
                </c:pt>
                <c:pt idx="5">
                  <c:v>6</c:v>
                </c:pt>
                <c:pt idx="6">
                  <c:v>5</c:v>
                </c:pt>
                <c:pt idx="7">
                  <c:v>4</c:v>
                </c:pt>
                <c:pt idx="8">
                  <c:v>3</c:v>
                </c:pt>
                <c:pt idx="9">
                  <c:v>7</c:v>
                </c:pt>
                <c:pt idx="10">
                  <c:v>3</c:v>
                </c:pt>
                <c:pt idx="11">
                  <c:v>4</c:v>
                </c:pt>
                <c:pt idx="12">
                  <c:v>3</c:v>
                </c:pt>
                <c:pt idx="13">
                  <c:v>6</c:v>
                </c:pt>
              </c:numCache>
            </c:numRef>
          </c:val>
          <c:extLst>
            <c:ext xmlns:c16="http://schemas.microsoft.com/office/drawing/2014/chart" uri="{C3380CC4-5D6E-409C-BE32-E72D297353CC}">
              <c16:uniqueId val="{00000003-DC64-4B9C-907E-136EB99BD394}"/>
            </c:ext>
          </c:extLst>
        </c:ser>
        <c:dLbls>
          <c:dLblPos val="ctr"/>
          <c:showLegendKey val="0"/>
          <c:showVal val="1"/>
          <c:showCatName val="0"/>
          <c:showSerName val="0"/>
          <c:showPercent val="0"/>
          <c:showBubbleSize val="0"/>
        </c:dLbls>
        <c:gapWidth val="150"/>
        <c:overlap val="100"/>
        <c:axId val="1707096367"/>
        <c:axId val="1707096847"/>
      </c:barChart>
      <c:catAx>
        <c:axId val="170709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096847"/>
        <c:crosses val="autoZero"/>
        <c:auto val="1"/>
        <c:lblAlgn val="ctr"/>
        <c:lblOffset val="100"/>
        <c:noMultiLvlLbl val="0"/>
      </c:catAx>
      <c:valAx>
        <c:axId val="170709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0963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Data_ NPS Tracker_2025.xlsx]Trend Analysis (Task 2B)!PivotTable4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Team Resolution Efficiency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546660255112009"/>
          <c:y val="0.23944178049376286"/>
          <c:w val="0.47580952367184048"/>
          <c:h val="0.6663747042699838"/>
        </c:manualLayout>
      </c:layout>
      <c:barChart>
        <c:barDir val="bar"/>
        <c:grouping val="clustered"/>
        <c:varyColors val="0"/>
        <c:ser>
          <c:idx val="0"/>
          <c:order val="0"/>
          <c:tx>
            <c:strRef>
              <c:f>'Trend Analysis (Task 2B)'!$B$108</c:f>
              <c:strCache>
                <c:ptCount val="1"/>
                <c:pt idx="0">
                  <c:v>Ticket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'Trend Analysis (Task 2B)'!$A$109:$A$120</c:f>
              <c:strCache>
                <c:ptCount val="11"/>
                <c:pt idx="0">
                  <c:v>Sarah Johnson</c:v>
                </c:pt>
                <c:pt idx="1">
                  <c:v>Mike Chen</c:v>
                </c:pt>
                <c:pt idx="2">
                  <c:v>Jessica Kim</c:v>
                </c:pt>
                <c:pt idx="3">
                  <c:v>Sneha Reddy</c:v>
                </c:pt>
                <c:pt idx="4">
                  <c:v>Rohit Gupta</c:v>
                </c:pt>
                <c:pt idx="5">
                  <c:v>Lisa Rodriguez</c:v>
                </c:pt>
                <c:pt idx="6">
                  <c:v>David Wilson</c:v>
                </c:pt>
                <c:pt idx="7">
                  <c:v>Carlos Martinez</c:v>
                </c:pt>
                <c:pt idx="8">
                  <c:v>Amit Patel</c:v>
                </c:pt>
                <c:pt idx="9">
                  <c:v>Priya Sharma</c:v>
                </c:pt>
                <c:pt idx="10">
                  <c:v>(blank)</c:v>
                </c:pt>
              </c:strCache>
            </c:strRef>
          </c:cat>
          <c:val>
            <c:numRef>
              <c:f>'Trend Analysis (Task 2B)'!$B$109:$B$120</c:f>
              <c:numCache>
                <c:formatCode>General</c:formatCode>
                <c:ptCount val="11"/>
                <c:pt idx="0">
                  <c:v>15</c:v>
                </c:pt>
                <c:pt idx="1">
                  <c:v>22</c:v>
                </c:pt>
                <c:pt idx="2">
                  <c:v>38</c:v>
                </c:pt>
                <c:pt idx="3">
                  <c:v>19</c:v>
                </c:pt>
                <c:pt idx="4">
                  <c:v>17</c:v>
                </c:pt>
                <c:pt idx="5">
                  <c:v>25</c:v>
                </c:pt>
                <c:pt idx="6">
                  <c:v>18</c:v>
                </c:pt>
                <c:pt idx="7">
                  <c:v>22</c:v>
                </c:pt>
                <c:pt idx="8">
                  <c:v>23</c:v>
                </c:pt>
                <c:pt idx="9">
                  <c:v>21</c:v>
                </c:pt>
                <c:pt idx="10">
                  <c:v>5</c:v>
                </c:pt>
              </c:numCache>
            </c:numRef>
          </c:val>
          <c:extLst>
            <c:ext xmlns:c16="http://schemas.microsoft.com/office/drawing/2014/chart" uri="{C3380CC4-5D6E-409C-BE32-E72D297353CC}">
              <c16:uniqueId val="{00000000-E954-4AFF-9364-63E1256DDDDA}"/>
            </c:ext>
          </c:extLst>
        </c:ser>
        <c:ser>
          <c:idx val="1"/>
          <c:order val="1"/>
          <c:tx>
            <c:strRef>
              <c:f>'Trend Analysis (Task 2B)'!$C$108</c:f>
              <c:strCache>
                <c:ptCount val="1"/>
                <c:pt idx="0">
                  <c:v>Avg Resolution Time (hrs)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'Trend Analysis (Task 2B)'!$A$109:$A$120</c:f>
              <c:strCache>
                <c:ptCount val="11"/>
                <c:pt idx="0">
                  <c:v>Sarah Johnson</c:v>
                </c:pt>
                <c:pt idx="1">
                  <c:v>Mike Chen</c:v>
                </c:pt>
                <c:pt idx="2">
                  <c:v>Jessica Kim</c:v>
                </c:pt>
                <c:pt idx="3">
                  <c:v>Sneha Reddy</c:v>
                </c:pt>
                <c:pt idx="4">
                  <c:v>Rohit Gupta</c:v>
                </c:pt>
                <c:pt idx="5">
                  <c:v>Lisa Rodriguez</c:v>
                </c:pt>
                <c:pt idx="6">
                  <c:v>David Wilson</c:v>
                </c:pt>
                <c:pt idx="7">
                  <c:v>Carlos Martinez</c:v>
                </c:pt>
                <c:pt idx="8">
                  <c:v>Amit Patel</c:v>
                </c:pt>
                <c:pt idx="9">
                  <c:v>Priya Sharma</c:v>
                </c:pt>
                <c:pt idx="10">
                  <c:v>(blank)</c:v>
                </c:pt>
              </c:strCache>
            </c:strRef>
          </c:cat>
          <c:val>
            <c:numRef>
              <c:f>'Trend Analysis (Task 2B)'!$C$109:$C$120</c:f>
              <c:numCache>
                <c:formatCode>General</c:formatCode>
                <c:ptCount val="11"/>
                <c:pt idx="0">
                  <c:v>164.25170370372945</c:v>
                </c:pt>
                <c:pt idx="1">
                  <c:v>152.13181818184569</c:v>
                </c:pt>
                <c:pt idx="2">
                  <c:v>128.323216374239</c:v>
                </c:pt>
                <c:pt idx="3">
                  <c:v>122.95004385963425</c:v>
                </c:pt>
                <c:pt idx="4">
                  <c:v>119.33655228758889</c:v>
                </c:pt>
                <c:pt idx="5">
                  <c:v>109.70044444443892</c:v>
                </c:pt>
                <c:pt idx="6">
                  <c:v>102.44407407407805</c:v>
                </c:pt>
                <c:pt idx="7">
                  <c:v>95.868308080820668</c:v>
                </c:pt>
                <c:pt idx="8">
                  <c:v>90.365132850235454</c:v>
                </c:pt>
                <c:pt idx="9">
                  <c:v>83.358068783069029</c:v>
                </c:pt>
                <c:pt idx="10">
                  <c:v>0</c:v>
                </c:pt>
              </c:numCache>
            </c:numRef>
          </c:val>
          <c:extLst>
            <c:ext xmlns:c16="http://schemas.microsoft.com/office/drawing/2014/chart" uri="{C3380CC4-5D6E-409C-BE32-E72D297353CC}">
              <c16:uniqueId val="{00000001-E954-4AFF-9364-63E1256DDDDA}"/>
            </c:ext>
          </c:extLst>
        </c:ser>
        <c:ser>
          <c:idx val="2"/>
          <c:order val="2"/>
          <c:tx>
            <c:strRef>
              <c:f>'Trend Analysis (Task 2B)'!$D$108</c:f>
              <c:strCache>
                <c:ptCount val="1"/>
                <c:pt idx="0">
                  <c:v>Max of ResolutionHours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'Trend Analysis (Task 2B)'!$A$109:$A$120</c:f>
              <c:strCache>
                <c:ptCount val="11"/>
                <c:pt idx="0">
                  <c:v>Sarah Johnson</c:v>
                </c:pt>
                <c:pt idx="1">
                  <c:v>Mike Chen</c:v>
                </c:pt>
                <c:pt idx="2">
                  <c:v>Jessica Kim</c:v>
                </c:pt>
                <c:pt idx="3">
                  <c:v>Sneha Reddy</c:v>
                </c:pt>
                <c:pt idx="4">
                  <c:v>Rohit Gupta</c:v>
                </c:pt>
                <c:pt idx="5">
                  <c:v>Lisa Rodriguez</c:v>
                </c:pt>
                <c:pt idx="6">
                  <c:v>David Wilson</c:v>
                </c:pt>
                <c:pt idx="7">
                  <c:v>Carlos Martinez</c:v>
                </c:pt>
                <c:pt idx="8">
                  <c:v>Amit Patel</c:v>
                </c:pt>
                <c:pt idx="9">
                  <c:v>Priya Sharma</c:v>
                </c:pt>
                <c:pt idx="10">
                  <c:v>(blank)</c:v>
                </c:pt>
              </c:strCache>
            </c:strRef>
          </c:cat>
          <c:val>
            <c:numRef>
              <c:f>'Trend Analysis (Task 2B)'!$D$109:$D$120</c:f>
              <c:numCache>
                <c:formatCode>General</c:formatCode>
                <c:ptCount val="11"/>
                <c:pt idx="0">
                  <c:v>293.80388888897141</c:v>
                </c:pt>
                <c:pt idx="1">
                  <c:v>265.27194444439374</c:v>
                </c:pt>
                <c:pt idx="2">
                  <c:v>293.17749999999069</c:v>
                </c:pt>
                <c:pt idx="3">
                  <c:v>287.9013888888876</c:v>
                </c:pt>
                <c:pt idx="4">
                  <c:v>285.28777777781943</c:v>
                </c:pt>
                <c:pt idx="5">
                  <c:v>285.05111111118458</c:v>
                </c:pt>
                <c:pt idx="6">
                  <c:v>243.25833333330229</c:v>
                </c:pt>
                <c:pt idx="7">
                  <c:v>289.87277777778218</c:v>
                </c:pt>
                <c:pt idx="8">
                  <c:v>265.45083333319053</c:v>
                </c:pt>
                <c:pt idx="9">
                  <c:v>270.74083333328599</c:v>
                </c:pt>
                <c:pt idx="10">
                  <c:v>0</c:v>
                </c:pt>
              </c:numCache>
            </c:numRef>
          </c:val>
          <c:extLst>
            <c:ext xmlns:c16="http://schemas.microsoft.com/office/drawing/2014/chart" uri="{C3380CC4-5D6E-409C-BE32-E72D297353CC}">
              <c16:uniqueId val="{00000002-E954-4AFF-9364-63E1256DDDDA}"/>
            </c:ext>
          </c:extLst>
        </c:ser>
        <c:dLbls>
          <c:showLegendKey val="0"/>
          <c:showVal val="0"/>
          <c:showCatName val="0"/>
          <c:showSerName val="0"/>
          <c:showPercent val="0"/>
          <c:showBubbleSize val="0"/>
        </c:dLbls>
        <c:gapWidth val="115"/>
        <c:overlap val="-20"/>
        <c:axId val="1707211567"/>
        <c:axId val="1707204847"/>
      </c:barChart>
      <c:catAx>
        <c:axId val="17072115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7204847"/>
        <c:crosses val="autoZero"/>
        <c:auto val="1"/>
        <c:lblAlgn val="ctr"/>
        <c:lblOffset val="100"/>
        <c:noMultiLvlLbl val="0"/>
      </c:catAx>
      <c:valAx>
        <c:axId val="17072048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7211567"/>
        <c:crosses val="autoZero"/>
        <c:crossBetween val="between"/>
      </c:valAx>
      <c:spPr>
        <a:noFill/>
        <a:ln>
          <a:noFill/>
        </a:ln>
        <a:effectLst/>
      </c:spPr>
    </c:plotArea>
    <c:legend>
      <c:legendPos val="r"/>
      <c:layout>
        <c:manualLayout>
          <c:xMode val="edge"/>
          <c:yMode val="edge"/>
          <c:x val="0.80207480945972454"/>
          <c:y val="0.46250959899482158"/>
          <c:w val="0.18436411176179768"/>
          <c:h val="0.412976761322765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Data_ NPS Tracker_2025.xlsx]Trend Analysis (Task 2B)!PivotTable5</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Ticket Volume by Day of Week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7030A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 Analysis (Task 2B)'!$B$148</c:f>
              <c:strCache>
                <c:ptCount val="1"/>
                <c:pt idx="0">
                  <c:v>Total</c:v>
                </c:pt>
              </c:strCache>
            </c:strRef>
          </c:tx>
          <c:spPr>
            <a:solidFill>
              <a:srgbClr val="7030A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'Trend Analysis (Task 2B)'!$A$149:$A$156</c:f>
              <c:strCache>
                <c:ptCount val="7"/>
                <c:pt idx="0">
                  <c:v>Sunday</c:v>
                </c:pt>
                <c:pt idx="1">
                  <c:v>Monday</c:v>
                </c:pt>
                <c:pt idx="2">
                  <c:v>Tuesday</c:v>
                </c:pt>
                <c:pt idx="3">
                  <c:v>Wednesday</c:v>
                </c:pt>
                <c:pt idx="4">
                  <c:v>Thursday</c:v>
                </c:pt>
                <c:pt idx="5">
                  <c:v>Friday</c:v>
                </c:pt>
                <c:pt idx="6">
                  <c:v>Saturday</c:v>
                </c:pt>
              </c:strCache>
            </c:strRef>
          </c:cat>
          <c:val>
            <c:numRef>
              <c:f>'Trend Analysis (Task 2B)'!$B$149:$B$156</c:f>
              <c:numCache>
                <c:formatCode>General</c:formatCode>
                <c:ptCount val="7"/>
                <c:pt idx="0">
                  <c:v>43</c:v>
                </c:pt>
                <c:pt idx="1">
                  <c:v>27</c:v>
                </c:pt>
                <c:pt idx="2">
                  <c:v>23</c:v>
                </c:pt>
                <c:pt idx="3">
                  <c:v>33</c:v>
                </c:pt>
                <c:pt idx="4">
                  <c:v>22</c:v>
                </c:pt>
                <c:pt idx="5">
                  <c:v>36</c:v>
                </c:pt>
                <c:pt idx="6">
                  <c:v>41</c:v>
                </c:pt>
              </c:numCache>
            </c:numRef>
          </c:val>
          <c:extLst>
            <c:ext xmlns:c16="http://schemas.microsoft.com/office/drawing/2014/chart" uri="{C3380CC4-5D6E-409C-BE32-E72D297353CC}">
              <c16:uniqueId val="{00000000-D501-49DD-9B36-08A795EA7098}"/>
            </c:ext>
          </c:extLst>
        </c:ser>
        <c:dLbls>
          <c:dLblPos val="outEnd"/>
          <c:showLegendKey val="0"/>
          <c:showVal val="1"/>
          <c:showCatName val="0"/>
          <c:showSerName val="0"/>
          <c:showPercent val="0"/>
          <c:showBubbleSize val="0"/>
        </c:dLbls>
        <c:gapWidth val="100"/>
        <c:overlap val="-24"/>
        <c:axId val="1707126127"/>
        <c:axId val="1707120847"/>
      </c:barChart>
      <c:catAx>
        <c:axId val="17071261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7120847"/>
        <c:crosses val="autoZero"/>
        <c:auto val="1"/>
        <c:lblAlgn val="ctr"/>
        <c:lblOffset val="100"/>
        <c:noMultiLvlLbl val="0"/>
      </c:catAx>
      <c:valAx>
        <c:axId val="17071208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712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Data_ NPS Tracker_2025.xlsx]Trend Analysis (Task 2B)!PivotTable1</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Weekly Ticket Volume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5"/>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042814474302177E-2"/>
          <c:y val="0.34630671166104238"/>
          <c:w val="0.88351899712946214"/>
          <c:h val="0.40269169478815148"/>
        </c:manualLayout>
      </c:layout>
      <c:lineChart>
        <c:grouping val="standard"/>
        <c:varyColors val="0"/>
        <c:ser>
          <c:idx val="0"/>
          <c:order val="0"/>
          <c:tx>
            <c:strRef>
              <c:f>'Trend Analysis (Task 2B)'!$B$4</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'Trend Analysis (Task 2B)'!$A$5:$A$13</c:f>
              <c:strCache>
                <c:ptCount val="8"/>
                <c:pt idx="0">
                  <c:v>2025-31</c:v>
                </c:pt>
                <c:pt idx="1">
                  <c:v>2025-32</c:v>
                </c:pt>
                <c:pt idx="2">
                  <c:v>2025-33</c:v>
                </c:pt>
                <c:pt idx="3">
                  <c:v>2025-34</c:v>
                </c:pt>
                <c:pt idx="4">
                  <c:v>2025-35</c:v>
                </c:pt>
                <c:pt idx="5">
                  <c:v>2025-36</c:v>
                </c:pt>
                <c:pt idx="6">
                  <c:v>2025-37</c:v>
                </c:pt>
                <c:pt idx="7">
                  <c:v>2025-38</c:v>
                </c:pt>
              </c:strCache>
            </c:strRef>
          </c:cat>
          <c:val>
            <c:numRef>
              <c:f>'Trend Analysis (Task 2B)'!$B$5:$B$13</c:f>
              <c:numCache>
                <c:formatCode>General</c:formatCode>
                <c:ptCount val="8"/>
                <c:pt idx="0">
                  <c:v>15</c:v>
                </c:pt>
                <c:pt idx="1">
                  <c:v>32</c:v>
                </c:pt>
                <c:pt idx="2">
                  <c:v>24</c:v>
                </c:pt>
                <c:pt idx="3">
                  <c:v>35</c:v>
                </c:pt>
                <c:pt idx="4">
                  <c:v>34</c:v>
                </c:pt>
                <c:pt idx="5">
                  <c:v>18</c:v>
                </c:pt>
                <c:pt idx="6">
                  <c:v>33</c:v>
                </c:pt>
                <c:pt idx="7">
                  <c:v>34</c:v>
                </c:pt>
              </c:numCache>
            </c:numRef>
          </c:val>
          <c:smooth val="0"/>
          <c:extLst>
            <c:ext xmlns:c16="http://schemas.microsoft.com/office/drawing/2014/chart" uri="{C3380CC4-5D6E-409C-BE32-E72D297353CC}">
              <c16:uniqueId val="{00000000-48E4-4E42-A266-BBA6C4790378}"/>
            </c:ext>
          </c:extLst>
        </c:ser>
        <c:dLbls>
          <c:dLblPos val="t"/>
          <c:showLegendKey val="0"/>
          <c:showVal val="1"/>
          <c:showCatName val="0"/>
          <c:showSerName val="0"/>
          <c:showPercent val="0"/>
          <c:showBubbleSize val="0"/>
        </c:dLbls>
        <c:marker val="1"/>
        <c:smooth val="0"/>
        <c:axId val="779061535"/>
        <c:axId val="779049535"/>
      </c:lineChart>
      <c:catAx>
        <c:axId val="779061535"/>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9049535"/>
        <c:crosses val="autoZero"/>
        <c:auto val="1"/>
        <c:lblAlgn val="ctr"/>
        <c:lblOffset val="100"/>
        <c:noMultiLvlLbl val="0"/>
      </c:catAx>
      <c:valAx>
        <c:axId val="7790495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9061535"/>
        <c:crosses val="autoZero"/>
        <c:crossBetween val="between"/>
      </c:valAx>
      <c:spPr>
        <a:noFill/>
        <a:ln>
          <a:noFill/>
        </a:ln>
        <a:effectLst/>
      </c:spPr>
    </c:plotArea>
    <c:legend>
      <c:legendPos val="r"/>
      <c:layout>
        <c:manualLayout>
          <c:xMode val="edge"/>
          <c:yMode val="edge"/>
          <c:x val="0.34103672532212442"/>
          <c:y val="0.85922759655043113"/>
          <c:w val="0.12405333145218012"/>
          <c:h val="0.1001552263390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50"/>
              <a:t>Top 5 Issue Types by Frequency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manualLayout>
          <c:layoutTarget val="inner"/>
          <c:xMode val="edge"/>
          <c:yMode val="edge"/>
          <c:x val="5.1789230330203932E-2"/>
          <c:y val="0.17162157930026156"/>
          <c:w val="0.92471882394308524"/>
          <c:h val="0.61973993397614568"/>
        </c:manualLayout>
      </c:layout>
      <c:barChart>
        <c:barDir val="col"/>
        <c:grouping val="clustered"/>
        <c:varyColors val="0"/>
        <c:ser>
          <c:idx val="0"/>
          <c:order val="0"/>
          <c:tx>
            <c:strRef>
              <c:f>'Strategic Analysis (Task 2A)'!$B$27</c:f>
              <c:strCache>
                <c:ptCount val="1"/>
                <c:pt idx="0">
                  <c:v>Ticket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'Strategic Analysis (Task 2A)'!$A$28:$A$32</c:f>
              <c:strCache>
                <c:ptCount val="5"/>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strCache>
            </c:strRef>
          </c:cat>
          <c:val>
            <c:numRef>
              <c:f>'Strategic Analysis (Task 2A)'!$B$28:$B$32</c:f>
              <c:numCache>
                <c:formatCode>General</c:formatCode>
                <c:ptCount val="5"/>
                <c:pt idx="0">
                  <c:v>21</c:v>
                </c:pt>
                <c:pt idx="1">
                  <c:v>19</c:v>
                </c:pt>
                <c:pt idx="2">
                  <c:v>18</c:v>
                </c:pt>
                <c:pt idx="3">
                  <c:v>18</c:v>
                </c:pt>
                <c:pt idx="4">
                  <c:v>18</c:v>
                </c:pt>
              </c:numCache>
            </c:numRef>
          </c:val>
          <c:extLst>
            <c:ext xmlns:c16="http://schemas.microsoft.com/office/drawing/2014/chart" uri="{C3380CC4-5D6E-409C-BE32-E72D297353CC}">
              <c16:uniqueId val="{00000000-17AC-4D2B-AA4E-9AD0D49230D2}"/>
            </c:ext>
          </c:extLst>
        </c:ser>
        <c:ser>
          <c:idx val="1"/>
          <c:order val="1"/>
          <c:tx>
            <c:strRef>
              <c:f>'Strategic Analysis (Task 2A)'!$C$27</c:f>
              <c:strCache>
                <c:ptCount val="1"/>
                <c:pt idx="0">
                  <c:v>% of 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'Strategic Analysis (Task 2A)'!$A$28:$A$32</c:f>
              <c:strCache>
                <c:ptCount val="5"/>
                <c:pt idx="0">
                  <c:v>Looking For Career Guidance (NPS)</c:v>
                </c:pt>
                <c:pt idx="1">
                  <c:v>Applied for jobs but no satisfactory outcome (NPS)</c:v>
                </c:pt>
                <c:pt idx="2">
                  <c:v>Projects &amp; Assignment Related Concern (NPS)</c:v>
                </c:pt>
                <c:pt idx="3">
                  <c:v>False Promise By Sales Team (NPS)</c:v>
                </c:pt>
                <c:pt idx="4">
                  <c:v>Time Management Related Concerns (NPS)</c:v>
                </c:pt>
              </c:strCache>
            </c:strRef>
          </c:cat>
          <c:val>
            <c:numRef>
              <c:f>'Strategic Analysis (Task 2A)'!$C$28:$C$32</c:f>
              <c:numCache>
                <c:formatCode>0.00%</c:formatCode>
                <c:ptCount val="5"/>
                <c:pt idx="0">
                  <c:v>9.3333333333333338E-2</c:v>
                </c:pt>
                <c:pt idx="1">
                  <c:v>8.4444444444444447E-2</c:v>
                </c:pt>
                <c:pt idx="2">
                  <c:v>0.08</c:v>
                </c:pt>
                <c:pt idx="3">
                  <c:v>0.08</c:v>
                </c:pt>
                <c:pt idx="4">
                  <c:v>0.08</c:v>
                </c:pt>
              </c:numCache>
            </c:numRef>
          </c:val>
          <c:extLst>
            <c:ext xmlns:c16="http://schemas.microsoft.com/office/drawing/2014/chart" uri="{C3380CC4-5D6E-409C-BE32-E72D297353CC}">
              <c16:uniqueId val="{00000001-17AC-4D2B-AA4E-9AD0D49230D2}"/>
            </c:ext>
          </c:extLst>
        </c:ser>
        <c:dLbls>
          <c:showLegendKey val="0"/>
          <c:showVal val="0"/>
          <c:showCatName val="0"/>
          <c:showSerName val="0"/>
          <c:showPercent val="0"/>
          <c:showBubbleSize val="0"/>
        </c:dLbls>
        <c:gapWidth val="100"/>
        <c:overlap val="-24"/>
        <c:axId val="1233071695"/>
        <c:axId val="1233072175"/>
      </c:barChart>
      <c:catAx>
        <c:axId val="12330716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3072175"/>
        <c:crosses val="autoZero"/>
        <c:auto val="1"/>
        <c:lblAlgn val="ctr"/>
        <c:lblOffset val="100"/>
        <c:noMultiLvlLbl val="0"/>
      </c:catAx>
      <c:valAx>
        <c:axId val="12330721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3071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Data_ NPS Tracker_2025.xlsx]Strategic Analysis (Task 2A)!PivotTable3</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rgbClr val="FFFFFF">
                    <a:lumMod val="95000"/>
                  </a:srgbClr>
                </a:solidFill>
                <a:effectLst>
                  <a:outerShdw blurRad="50800" dist="38100" dir="5400000" algn="t" rotWithShape="0">
                    <a:prstClr val="black">
                      <a:alpha val="40000"/>
                    </a:prstClr>
                  </a:outerShdw>
                </a:effectLst>
              </a:rPr>
              <a:t>Issue Distribution Across Programs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'Strategic Analysis (Task 2A)'!$B$89:$B$90</c:f>
              <c:strCache>
                <c:ptCount val="1"/>
                <c:pt idx="0">
                  <c:v>AIML</c:v>
                </c:pt>
              </c:strCache>
            </c:strRef>
          </c:tx>
          <c:spPr>
            <a:solidFill>
              <a:srgbClr val="00B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'Strategic Analysis (Task 2A)'!$A$91:$A$105</c:f>
              <c:strCache>
                <c:ptCount val="14"/>
                <c:pt idx="0">
                  <c:v>Looking For Career Guidance (NPS)</c:v>
                </c:pt>
                <c:pt idx="1">
                  <c:v>False Promise By Sales Team (NPS)</c:v>
                </c:pt>
                <c:pt idx="2">
                  <c:v>Mentor Support Related Concerns (NPS)</c:v>
                </c:pt>
                <c:pt idx="3">
                  <c:v>Time Management Related Concerns (NPS)</c:v>
                </c:pt>
                <c:pt idx="4">
                  <c:v>Applied for jobs but no satisfactory outcome (NPS)</c:v>
                </c:pt>
                <c:pt idx="5">
                  <c:v>Frequent Resume Rejection (NPS)</c:v>
                </c:pt>
                <c:pt idx="6">
                  <c:v>Projects &amp; Assignment Related Concern (NPS)</c:v>
                </c:pt>
                <c:pt idx="7">
                  <c:v>Unhappy With The Class Timings (NPS)</c:v>
                </c:pt>
                <c:pt idx="8">
                  <c:v>Lecture Notes Related (NPS)</c:v>
                </c:pt>
                <c:pt idx="9">
                  <c:v>Instructor Related Feedback (NPS)</c:v>
                </c:pt>
                <c:pt idx="10">
                  <c:v>Not eligible for placements (NPS)</c:v>
                </c:pt>
                <c:pt idx="11">
                  <c:v>TA Support Related Concerns (NPS)</c:v>
                </c:pt>
                <c:pt idx="12">
                  <c:v>Poor Class video quality (NPS)</c:v>
                </c:pt>
                <c:pt idx="13">
                  <c:v>Unhappy With Course Curriculum (NPS)</c:v>
                </c:pt>
              </c:strCache>
            </c:strRef>
          </c:cat>
          <c:val>
            <c:numRef>
              <c:f>'Strategic Analysis (Task 2A)'!$B$91:$B$105</c:f>
              <c:numCache>
                <c:formatCode>General</c:formatCode>
                <c:ptCount val="14"/>
                <c:pt idx="0">
                  <c:v>5</c:v>
                </c:pt>
                <c:pt idx="1">
                  <c:v>5</c:v>
                </c:pt>
                <c:pt idx="2">
                  <c:v>2</c:v>
                </c:pt>
                <c:pt idx="3">
                  <c:v>5</c:v>
                </c:pt>
                <c:pt idx="4">
                  <c:v>8</c:v>
                </c:pt>
                <c:pt idx="5">
                  <c:v>1</c:v>
                </c:pt>
                <c:pt idx="6">
                  <c:v>1</c:v>
                </c:pt>
                <c:pt idx="7">
                  <c:v>2</c:v>
                </c:pt>
                <c:pt idx="8">
                  <c:v>3</c:v>
                </c:pt>
                <c:pt idx="9">
                  <c:v>3</c:v>
                </c:pt>
                <c:pt idx="10">
                  <c:v>4</c:v>
                </c:pt>
                <c:pt idx="11">
                  <c:v>4</c:v>
                </c:pt>
                <c:pt idx="12">
                  <c:v>1</c:v>
                </c:pt>
                <c:pt idx="13">
                  <c:v>3</c:v>
                </c:pt>
              </c:numCache>
            </c:numRef>
          </c:val>
          <c:extLst>
            <c:ext xmlns:c16="http://schemas.microsoft.com/office/drawing/2014/chart" uri="{C3380CC4-5D6E-409C-BE32-E72D297353CC}">
              <c16:uniqueId val="{00000000-4C51-424D-9AF7-4FA5B9706BAF}"/>
            </c:ext>
          </c:extLst>
        </c:ser>
        <c:ser>
          <c:idx val="1"/>
          <c:order val="1"/>
          <c:tx>
            <c:strRef>
              <c:f>'Strategic Analysis (Task 2A)'!$C$89:$C$90</c:f>
              <c:strCache>
                <c:ptCount val="1"/>
                <c:pt idx="0">
                  <c:v>DevOps</c:v>
                </c:pt>
              </c:strCache>
            </c:strRef>
          </c:tx>
          <c:spPr>
            <a:solidFill>
              <a:schemeClr val="accent5"/>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'Strategic Analysis (Task 2A)'!$A$91:$A$105</c:f>
              <c:strCache>
                <c:ptCount val="14"/>
                <c:pt idx="0">
                  <c:v>Looking For Career Guidance (NPS)</c:v>
                </c:pt>
                <c:pt idx="1">
                  <c:v>False Promise By Sales Team (NPS)</c:v>
                </c:pt>
                <c:pt idx="2">
                  <c:v>Mentor Support Related Concerns (NPS)</c:v>
                </c:pt>
                <c:pt idx="3">
                  <c:v>Time Management Related Concerns (NPS)</c:v>
                </c:pt>
                <c:pt idx="4">
                  <c:v>Applied for jobs but no satisfactory outcome (NPS)</c:v>
                </c:pt>
                <c:pt idx="5">
                  <c:v>Frequent Resume Rejection (NPS)</c:v>
                </c:pt>
                <c:pt idx="6">
                  <c:v>Projects &amp; Assignment Related Concern (NPS)</c:v>
                </c:pt>
                <c:pt idx="7">
                  <c:v>Unhappy With The Class Timings (NPS)</c:v>
                </c:pt>
                <c:pt idx="8">
                  <c:v>Lecture Notes Related (NPS)</c:v>
                </c:pt>
                <c:pt idx="9">
                  <c:v>Instructor Related Feedback (NPS)</c:v>
                </c:pt>
                <c:pt idx="10">
                  <c:v>Not eligible for placements (NPS)</c:v>
                </c:pt>
                <c:pt idx="11">
                  <c:v>TA Support Related Concerns (NPS)</c:v>
                </c:pt>
                <c:pt idx="12">
                  <c:v>Poor Class video quality (NPS)</c:v>
                </c:pt>
                <c:pt idx="13">
                  <c:v>Unhappy With Course Curriculum (NPS)</c:v>
                </c:pt>
              </c:strCache>
            </c:strRef>
          </c:cat>
          <c:val>
            <c:numRef>
              <c:f>'Strategic Analysis (Task 2A)'!$C$91:$C$105</c:f>
              <c:numCache>
                <c:formatCode>General</c:formatCode>
                <c:ptCount val="14"/>
                <c:pt idx="0">
                  <c:v>4</c:v>
                </c:pt>
                <c:pt idx="1">
                  <c:v>3</c:v>
                </c:pt>
                <c:pt idx="2">
                  <c:v>7</c:v>
                </c:pt>
                <c:pt idx="3">
                  <c:v>4</c:v>
                </c:pt>
                <c:pt idx="4">
                  <c:v>2</c:v>
                </c:pt>
                <c:pt idx="5">
                  <c:v>6</c:v>
                </c:pt>
                <c:pt idx="6">
                  <c:v>4</c:v>
                </c:pt>
                <c:pt idx="7">
                  <c:v>4</c:v>
                </c:pt>
                <c:pt idx="8">
                  <c:v>5</c:v>
                </c:pt>
                <c:pt idx="9">
                  <c:v>3</c:v>
                </c:pt>
                <c:pt idx="10">
                  <c:v>3</c:v>
                </c:pt>
                <c:pt idx="11">
                  <c:v>2</c:v>
                </c:pt>
                <c:pt idx="12">
                  <c:v>4</c:v>
                </c:pt>
                <c:pt idx="13">
                  <c:v>1</c:v>
                </c:pt>
              </c:numCache>
            </c:numRef>
          </c:val>
          <c:extLst>
            <c:ext xmlns:c16="http://schemas.microsoft.com/office/drawing/2014/chart" uri="{C3380CC4-5D6E-409C-BE32-E72D297353CC}">
              <c16:uniqueId val="{00000008-4C51-424D-9AF7-4FA5B9706BAF}"/>
            </c:ext>
          </c:extLst>
        </c:ser>
        <c:ser>
          <c:idx val="2"/>
          <c:order val="2"/>
          <c:tx>
            <c:strRef>
              <c:f>'Strategic Analysis (Task 2A)'!$D$89:$D$90</c:f>
              <c:strCache>
                <c:ptCount val="1"/>
                <c:pt idx="0">
                  <c:v>DSML</c:v>
                </c:pt>
              </c:strCache>
            </c:strRef>
          </c:tx>
          <c:spPr>
            <a:solidFill>
              <a:srgbClr val="7030A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'Strategic Analysis (Task 2A)'!$A$91:$A$105</c:f>
              <c:strCache>
                <c:ptCount val="14"/>
                <c:pt idx="0">
                  <c:v>Looking For Career Guidance (NPS)</c:v>
                </c:pt>
                <c:pt idx="1">
                  <c:v>False Promise By Sales Team (NPS)</c:v>
                </c:pt>
                <c:pt idx="2">
                  <c:v>Mentor Support Related Concerns (NPS)</c:v>
                </c:pt>
                <c:pt idx="3">
                  <c:v>Time Management Related Concerns (NPS)</c:v>
                </c:pt>
                <c:pt idx="4">
                  <c:v>Applied for jobs but no satisfactory outcome (NPS)</c:v>
                </c:pt>
                <c:pt idx="5">
                  <c:v>Frequent Resume Rejection (NPS)</c:v>
                </c:pt>
                <c:pt idx="6">
                  <c:v>Projects &amp; Assignment Related Concern (NPS)</c:v>
                </c:pt>
                <c:pt idx="7">
                  <c:v>Unhappy With The Class Timings (NPS)</c:v>
                </c:pt>
                <c:pt idx="8">
                  <c:v>Lecture Notes Related (NPS)</c:v>
                </c:pt>
                <c:pt idx="9">
                  <c:v>Instructor Related Feedback (NPS)</c:v>
                </c:pt>
                <c:pt idx="10">
                  <c:v>Not eligible for placements (NPS)</c:v>
                </c:pt>
                <c:pt idx="11">
                  <c:v>TA Support Related Concerns (NPS)</c:v>
                </c:pt>
                <c:pt idx="12">
                  <c:v>Poor Class video quality (NPS)</c:v>
                </c:pt>
                <c:pt idx="13">
                  <c:v>Unhappy With Course Curriculum (NPS)</c:v>
                </c:pt>
              </c:strCache>
            </c:strRef>
          </c:cat>
          <c:val>
            <c:numRef>
              <c:f>'Strategic Analysis (Task 2A)'!$D$91:$D$105</c:f>
              <c:numCache>
                <c:formatCode>General</c:formatCode>
                <c:ptCount val="14"/>
                <c:pt idx="0">
                  <c:v>6</c:v>
                </c:pt>
                <c:pt idx="1">
                  <c:v>6</c:v>
                </c:pt>
                <c:pt idx="2">
                  <c:v>5</c:v>
                </c:pt>
                <c:pt idx="3">
                  <c:v>4</c:v>
                </c:pt>
                <c:pt idx="4">
                  <c:v>3</c:v>
                </c:pt>
                <c:pt idx="5">
                  <c:v>5</c:v>
                </c:pt>
                <c:pt idx="6">
                  <c:v>7</c:v>
                </c:pt>
                <c:pt idx="7">
                  <c:v>6</c:v>
                </c:pt>
                <c:pt idx="8">
                  <c:v>3</c:v>
                </c:pt>
                <c:pt idx="9">
                  <c:v>5</c:v>
                </c:pt>
                <c:pt idx="10">
                  <c:v>4</c:v>
                </c:pt>
                <c:pt idx="11">
                  <c:v>3</c:v>
                </c:pt>
                <c:pt idx="12">
                  <c:v>3</c:v>
                </c:pt>
                <c:pt idx="13">
                  <c:v>3</c:v>
                </c:pt>
              </c:numCache>
            </c:numRef>
          </c:val>
          <c:extLst>
            <c:ext xmlns:c16="http://schemas.microsoft.com/office/drawing/2014/chart" uri="{C3380CC4-5D6E-409C-BE32-E72D297353CC}">
              <c16:uniqueId val="{00000009-4C51-424D-9AF7-4FA5B9706BAF}"/>
            </c:ext>
          </c:extLst>
        </c:ser>
        <c:dLbls>
          <c:showLegendKey val="0"/>
          <c:showVal val="0"/>
          <c:showCatName val="0"/>
          <c:showSerName val="0"/>
          <c:showPercent val="0"/>
          <c:showBubbleSize val="0"/>
        </c:dLbls>
        <c:gapWidth val="150"/>
        <c:overlap val="100"/>
        <c:axId val="1035423215"/>
        <c:axId val="1035430415"/>
      </c:barChart>
      <c:catAx>
        <c:axId val="10354232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5430415"/>
        <c:crosses val="autoZero"/>
        <c:auto val="1"/>
        <c:lblAlgn val="ctr"/>
        <c:lblOffset val="100"/>
        <c:noMultiLvlLbl val="0"/>
      </c:catAx>
      <c:valAx>
        <c:axId val="1035430415"/>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542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Data_ NPS Tracker_2025.xlsx]Trend Analysis (Task 2B)!PivotTable4</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Team Resolution Efficiency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546660255112009"/>
          <c:y val="0.23944178049376286"/>
          <c:w val="0.47580952367184048"/>
          <c:h val="0.6663747042699838"/>
        </c:manualLayout>
      </c:layout>
      <c:barChart>
        <c:barDir val="bar"/>
        <c:grouping val="clustered"/>
        <c:varyColors val="0"/>
        <c:ser>
          <c:idx val="0"/>
          <c:order val="0"/>
          <c:tx>
            <c:strRef>
              <c:f>'Trend Analysis (Task 2B)'!$B$108</c:f>
              <c:strCache>
                <c:ptCount val="1"/>
                <c:pt idx="0">
                  <c:v>Ticket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'Trend Analysis (Task 2B)'!$A$109:$A$120</c:f>
              <c:strCache>
                <c:ptCount val="11"/>
                <c:pt idx="0">
                  <c:v>Sarah Johnson</c:v>
                </c:pt>
                <c:pt idx="1">
                  <c:v>Mike Chen</c:v>
                </c:pt>
                <c:pt idx="2">
                  <c:v>Jessica Kim</c:v>
                </c:pt>
                <c:pt idx="3">
                  <c:v>Sneha Reddy</c:v>
                </c:pt>
                <c:pt idx="4">
                  <c:v>Rohit Gupta</c:v>
                </c:pt>
                <c:pt idx="5">
                  <c:v>Lisa Rodriguez</c:v>
                </c:pt>
                <c:pt idx="6">
                  <c:v>David Wilson</c:v>
                </c:pt>
                <c:pt idx="7">
                  <c:v>Carlos Martinez</c:v>
                </c:pt>
                <c:pt idx="8">
                  <c:v>Amit Patel</c:v>
                </c:pt>
                <c:pt idx="9">
                  <c:v>Priya Sharma</c:v>
                </c:pt>
                <c:pt idx="10">
                  <c:v>(blank)</c:v>
                </c:pt>
              </c:strCache>
            </c:strRef>
          </c:cat>
          <c:val>
            <c:numRef>
              <c:f>'Trend Analysis (Task 2B)'!$B$109:$B$120</c:f>
              <c:numCache>
                <c:formatCode>General</c:formatCode>
                <c:ptCount val="11"/>
                <c:pt idx="0">
                  <c:v>15</c:v>
                </c:pt>
                <c:pt idx="1">
                  <c:v>22</c:v>
                </c:pt>
                <c:pt idx="2">
                  <c:v>38</c:v>
                </c:pt>
                <c:pt idx="3">
                  <c:v>19</c:v>
                </c:pt>
                <c:pt idx="4">
                  <c:v>17</c:v>
                </c:pt>
                <c:pt idx="5">
                  <c:v>25</c:v>
                </c:pt>
                <c:pt idx="6">
                  <c:v>18</c:v>
                </c:pt>
                <c:pt idx="7">
                  <c:v>22</c:v>
                </c:pt>
                <c:pt idx="8">
                  <c:v>23</c:v>
                </c:pt>
                <c:pt idx="9">
                  <c:v>21</c:v>
                </c:pt>
                <c:pt idx="10">
                  <c:v>5</c:v>
                </c:pt>
              </c:numCache>
            </c:numRef>
          </c:val>
          <c:extLst>
            <c:ext xmlns:c16="http://schemas.microsoft.com/office/drawing/2014/chart" uri="{C3380CC4-5D6E-409C-BE32-E72D297353CC}">
              <c16:uniqueId val="{00000000-A20E-453E-8DD6-17B6A0F6E19F}"/>
            </c:ext>
          </c:extLst>
        </c:ser>
        <c:ser>
          <c:idx val="1"/>
          <c:order val="1"/>
          <c:tx>
            <c:strRef>
              <c:f>'Trend Analysis (Task 2B)'!$C$108</c:f>
              <c:strCache>
                <c:ptCount val="1"/>
                <c:pt idx="0">
                  <c:v>Avg Resolution Time (hrs)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'Trend Analysis (Task 2B)'!$A$109:$A$120</c:f>
              <c:strCache>
                <c:ptCount val="11"/>
                <c:pt idx="0">
                  <c:v>Sarah Johnson</c:v>
                </c:pt>
                <c:pt idx="1">
                  <c:v>Mike Chen</c:v>
                </c:pt>
                <c:pt idx="2">
                  <c:v>Jessica Kim</c:v>
                </c:pt>
                <c:pt idx="3">
                  <c:v>Sneha Reddy</c:v>
                </c:pt>
                <c:pt idx="4">
                  <c:v>Rohit Gupta</c:v>
                </c:pt>
                <c:pt idx="5">
                  <c:v>Lisa Rodriguez</c:v>
                </c:pt>
                <c:pt idx="6">
                  <c:v>David Wilson</c:v>
                </c:pt>
                <c:pt idx="7">
                  <c:v>Carlos Martinez</c:v>
                </c:pt>
                <c:pt idx="8">
                  <c:v>Amit Patel</c:v>
                </c:pt>
                <c:pt idx="9">
                  <c:v>Priya Sharma</c:v>
                </c:pt>
                <c:pt idx="10">
                  <c:v>(blank)</c:v>
                </c:pt>
              </c:strCache>
            </c:strRef>
          </c:cat>
          <c:val>
            <c:numRef>
              <c:f>'Trend Analysis (Task 2B)'!$C$109:$C$120</c:f>
              <c:numCache>
                <c:formatCode>General</c:formatCode>
                <c:ptCount val="11"/>
                <c:pt idx="0">
                  <c:v>164.25170370372945</c:v>
                </c:pt>
                <c:pt idx="1">
                  <c:v>152.13181818184569</c:v>
                </c:pt>
                <c:pt idx="2">
                  <c:v>128.323216374239</c:v>
                </c:pt>
                <c:pt idx="3">
                  <c:v>122.95004385963425</c:v>
                </c:pt>
                <c:pt idx="4">
                  <c:v>119.33655228758889</c:v>
                </c:pt>
                <c:pt idx="5">
                  <c:v>109.70044444443892</c:v>
                </c:pt>
                <c:pt idx="6">
                  <c:v>102.44407407407805</c:v>
                </c:pt>
                <c:pt idx="7">
                  <c:v>95.868308080820668</c:v>
                </c:pt>
                <c:pt idx="8">
                  <c:v>90.365132850235454</c:v>
                </c:pt>
                <c:pt idx="9">
                  <c:v>83.358068783069029</c:v>
                </c:pt>
                <c:pt idx="10">
                  <c:v>0</c:v>
                </c:pt>
              </c:numCache>
            </c:numRef>
          </c:val>
          <c:extLst>
            <c:ext xmlns:c16="http://schemas.microsoft.com/office/drawing/2014/chart" uri="{C3380CC4-5D6E-409C-BE32-E72D297353CC}">
              <c16:uniqueId val="{00000001-A20E-453E-8DD6-17B6A0F6E19F}"/>
            </c:ext>
          </c:extLst>
        </c:ser>
        <c:ser>
          <c:idx val="2"/>
          <c:order val="2"/>
          <c:tx>
            <c:strRef>
              <c:f>'Trend Analysis (Task 2B)'!$D$108</c:f>
              <c:strCache>
                <c:ptCount val="1"/>
                <c:pt idx="0">
                  <c:v>Max of ResolutionHours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'Trend Analysis (Task 2B)'!$A$109:$A$120</c:f>
              <c:strCache>
                <c:ptCount val="11"/>
                <c:pt idx="0">
                  <c:v>Sarah Johnson</c:v>
                </c:pt>
                <c:pt idx="1">
                  <c:v>Mike Chen</c:v>
                </c:pt>
                <c:pt idx="2">
                  <c:v>Jessica Kim</c:v>
                </c:pt>
                <c:pt idx="3">
                  <c:v>Sneha Reddy</c:v>
                </c:pt>
                <c:pt idx="4">
                  <c:v>Rohit Gupta</c:v>
                </c:pt>
                <c:pt idx="5">
                  <c:v>Lisa Rodriguez</c:v>
                </c:pt>
                <c:pt idx="6">
                  <c:v>David Wilson</c:v>
                </c:pt>
                <c:pt idx="7">
                  <c:v>Carlos Martinez</c:v>
                </c:pt>
                <c:pt idx="8">
                  <c:v>Amit Patel</c:v>
                </c:pt>
                <c:pt idx="9">
                  <c:v>Priya Sharma</c:v>
                </c:pt>
                <c:pt idx="10">
                  <c:v>(blank)</c:v>
                </c:pt>
              </c:strCache>
            </c:strRef>
          </c:cat>
          <c:val>
            <c:numRef>
              <c:f>'Trend Analysis (Task 2B)'!$D$109:$D$120</c:f>
              <c:numCache>
                <c:formatCode>General</c:formatCode>
                <c:ptCount val="11"/>
                <c:pt idx="0">
                  <c:v>293.80388888897141</c:v>
                </c:pt>
                <c:pt idx="1">
                  <c:v>265.27194444439374</c:v>
                </c:pt>
                <c:pt idx="2">
                  <c:v>293.17749999999069</c:v>
                </c:pt>
                <c:pt idx="3">
                  <c:v>287.9013888888876</c:v>
                </c:pt>
                <c:pt idx="4">
                  <c:v>285.28777777781943</c:v>
                </c:pt>
                <c:pt idx="5">
                  <c:v>285.05111111118458</c:v>
                </c:pt>
                <c:pt idx="6">
                  <c:v>243.25833333330229</c:v>
                </c:pt>
                <c:pt idx="7">
                  <c:v>289.87277777778218</c:v>
                </c:pt>
                <c:pt idx="8">
                  <c:v>265.45083333319053</c:v>
                </c:pt>
                <c:pt idx="9">
                  <c:v>270.74083333328599</c:v>
                </c:pt>
                <c:pt idx="10">
                  <c:v>0</c:v>
                </c:pt>
              </c:numCache>
            </c:numRef>
          </c:val>
          <c:extLst>
            <c:ext xmlns:c16="http://schemas.microsoft.com/office/drawing/2014/chart" uri="{C3380CC4-5D6E-409C-BE32-E72D297353CC}">
              <c16:uniqueId val="{00000002-A20E-453E-8DD6-17B6A0F6E19F}"/>
            </c:ext>
          </c:extLst>
        </c:ser>
        <c:dLbls>
          <c:showLegendKey val="0"/>
          <c:showVal val="0"/>
          <c:showCatName val="0"/>
          <c:showSerName val="0"/>
          <c:showPercent val="0"/>
          <c:showBubbleSize val="0"/>
        </c:dLbls>
        <c:gapWidth val="115"/>
        <c:overlap val="-20"/>
        <c:axId val="1707211567"/>
        <c:axId val="1707204847"/>
      </c:barChart>
      <c:catAx>
        <c:axId val="17072115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7204847"/>
        <c:crosses val="autoZero"/>
        <c:auto val="1"/>
        <c:lblAlgn val="ctr"/>
        <c:lblOffset val="100"/>
        <c:noMultiLvlLbl val="0"/>
      </c:catAx>
      <c:valAx>
        <c:axId val="17072048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7211567"/>
        <c:crosses val="autoZero"/>
        <c:crossBetween val="between"/>
      </c:valAx>
      <c:spPr>
        <a:noFill/>
        <a:ln>
          <a:noFill/>
        </a:ln>
        <a:effectLst/>
      </c:spPr>
    </c:plotArea>
    <c:legend>
      <c:legendPos val="r"/>
      <c:layout>
        <c:manualLayout>
          <c:xMode val="edge"/>
          <c:yMode val="edge"/>
          <c:x val="0.80207480945972454"/>
          <c:y val="0.46250959899482158"/>
          <c:w val="0.18436411176179768"/>
          <c:h val="0.412976761322765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Ticket No vs. Issue 2 - NPS</a:t>
            </a:r>
          </a:p>
        </c:rich>
      </c:tx>
      <c:layout>
        <c:manualLayout>
          <c:xMode val="edge"/>
          <c:yMode val="edge"/>
          <c:x val="0.15199277384147303"/>
          <c:y val="8.9847259658580411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'[1]Issue Prioritization'!$B$1</c:f>
              <c:strCache>
                <c:ptCount val="1"/>
                <c:pt idx="0">
                  <c:v>COUNTA of Ticket No</c:v>
                </c:pt>
              </c:strCache>
            </c:strRef>
          </c:tx>
          <c:invertIfNegative val="1"/>
          <c:dPt>
            <c:idx val="0"/>
            <c:invertIfNegative val="1"/>
            <c:bubble3D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1-B774-4C3A-AD14-2F6186F54CF5}"/>
              </c:ext>
            </c:extLst>
          </c:dPt>
          <c:dPt>
            <c:idx val="1"/>
            <c:invertIfNegative val="1"/>
            <c:bubble3D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extLst>
              <c:ext xmlns:c16="http://schemas.microsoft.com/office/drawing/2014/chart" uri="{C3380CC4-5D6E-409C-BE32-E72D297353CC}">
                <c16:uniqueId val="{00000002-B774-4C3A-AD14-2F6186F54CF5}"/>
              </c:ext>
            </c:extLst>
          </c:dPt>
          <c:dPt>
            <c:idx val="2"/>
            <c:invertIfNegative val="1"/>
            <c:bubble3D val="0"/>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extLst>
              <c:ext xmlns:c16="http://schemas.microsoft.com/office/drawing/2014/chart" uri="{C3380CC4-5D6E-409C-BE32-E72D297353CC}">
                <c16:uniqueId val="{00000003-B774-4C3A-AD14-2F6186F54CF5}"/>
              </c:ext>
            </c:extLst>
          </c:dPt>
          <c:dPt>
            <c:idx val="3"/>
            <c:invertIfNegative val="1"/>
            <c:bubble3D val="0"/>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extLst>
              <c:ext xmlns:c16="http://schemas.microsoft.com/office/drawing/2014/chart" uri="{C3380CC4-5D6E-409C-BE32-E72D297353CC}">
                <c16:uniqueId val="{00000004-B774-4C3A-AD14-2F6186F54CF5}"/>
              </c:ext>
            </c:extLst>
          </c:dPt>
          <c:dPt>
            <c:idx val="4"/>
            <c:invertIfNegative val="1"/>
            <c:bubble3D val="0"/>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extLst>
              <c:ext xmlns:c16="http://schemas.microsoft.com/office/drawing/2014/chart" uri="{C3380CC4-5D6E-409C-BE32-E72D297353CC}">
                <c16:uniqueId val="{00000005-B774-4C3A-AD14-2F6186F54CF5}"/>
              </c:ext>
            </c:extLst>
          </c:dPt>
          <c:dPt>
            <c:idx val="5"/>
            <c:invertIfNegative val="1"/>
            <c:bubble3D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extLst>
              <c:ext xmlns:c16="http://schemas.microsoft.com/office/drawing/2014/chart" uri="{C3380CC4-5D6E-409C-BE32-E72D297353CC}">
                <c16:uniqueId val="{00000006-B774-4C3A-AD14-2F6186F54CF5}"/>
              </c:ext>
            </c:extLst>
          </c:dPt>
          <c:dPt>
            <c:idx val="6"/>
            <c:invertIfNegative val="1"/>
            <c:bubble3D val="0"/>
            <c:spPr>
              <a:solidFill>
                <a:schemeClr val="accent1">
                  <a:lumMod val="60000"/>
                  <a:alpha val="88000"/>
                </a:schemeClr>
              </a:solidFill>
              <a:ln>
                <a:solidFill>
                  <a:schemeClr val="accent1">
                    <a:lumMod val="60000"/>
                    <a:lumMod val="50000"/>
                  </a:schemeClr>
                </a:solidFill>
              </a:ln>
              <a:effectLst/>
              <a:scene3d>
                <a:camera prst="orthographicFront"/>
                <a:lightRig rig="threePt" dir="t"/>
              </a:scene3d>
              <a:sp3d prstMaterial="flat">
                <a:contourClr>
                  <a:schemeClr val="accent1">
                    <a:lumMod val="60000"/>
                    <a:lumMod val="50000"/>
                  </a:schemeClr>
                </a:contourClr>
              </a:sp3d>
            </c:spPr>
            <c:extLst>
              <c:ext xmlns:c16="http://schemas.microsoft.com/office/drawing/2014/chart" uri="{C3380CC4-5D6E-409C-BE32-E72D297353CC}">
                <c16:uniqueId val="{00000007-B774-4C3A-AD14-2F6186F54CF5}"/>
              </c:ext>
            </c:extLst>
          </c:dPt>
          <c:dPt>
            <c:idx val="7"/>
            <c:invertIfNegative val="1"/>
            <c:bubble3D val="0"/>
            <c:spPr>
              <a:solidFill>
                <a:schemeClr val="accent2">
                  <a:lumMod val="60000"/>
                  <a:alpha val="88000"/>
                </a:schemeClr>
              </a:solidFill>
              <a:ln>
                <a:solidFill>
                  <a:schemeClr val="accent2">
                    <a:lumMod val="60000"/>
                    <a:lumMod val="50000"/>
                  </a:schemeClr>
                </a:solidFill>
              </a:ln>
              <a:effectLst/>
              <a:scene3d>
                <a:camera prst="orthographicFront"/>
                <a:lightRig rig="threePt" dir="t"/>
              </a:scene3d>
              <a:sp3d prstMaterial="flat">
                <a:contourClr>
                  <a:schemeClr val="accent2">
                    <a:lumMod val="60000"/>
                    <a:lumMod val="50000"/>
                  </a:schemeClr>
                </a:contourClr>
              </a:sp3d>
            </c:spPr>
            <c:extLst>
              <c:ext xmlns:c16="http://schemas.microsoft.com/office/drawing/2014/chart" uri="{C3380CC4-5D6E-409C-BE32-E72D297353CC}">
                <c16:uniqueId val="{00000008-B774-4C3A-AD14-2F6186F54CF5}"/>
              </c:ext>
            </c:extLst>
          </c:dPt>
          <c:dPt>
            <c:idx val="8"/>
            <c:invertIfNegative val="1"/>
            <c:bubble3D val="0"/>
            <c:spPr>
              <a:solidFill>
                <a:schemeClr val="accent3">
                  <a:lumMod val="60000"/>
                  <a:alpha val="88000"/>
                </a:schemeClr>
              </a:solidFill>
              <a:ln>
                <a:solidFill>
                  <a:schemeClr val="accent3">
                    <a:lumMod val="60000"/>
                    <a:lumMod val="50000"/>
                  </a:schemeClr>
                </a:solidFill>
              </a:ln>
              <a:effectLst/>
              <a:scene3d>
                <a:camera prst="orthographicFront"/>
                <a:lightRig rig="threePt" dir="t"/>
              </a:scene3d>
              <a:sp3d prstMaterial="flat">
                <a:contourClr>
                  <a:schemeClr val="accent3">
                    <a:lumMod val="60000"/>
                    <a:lumMod val="50000"/>
                  </a:schemeClr>
                </a:contourClr>
              </a:sp3d>
            </c:spPr>
            <c:extLst>
              <c:ext xmlns:c16="http://schemas.microsoft.com/office/drawing/2014/chart" uri="{C3380CC4-5D6E-409C-BE32-E72D297353CC}">
                <c16:uniqueId val="{00000009-B774-4C3A-AD14-2F6186F54CF5}"/>
              </c:ext>
            </c:extLst>
          </c:dPt>
          <c:dPt>
            <c:idx val="9"/>
            <c:invertIfNegative val="1"/>
            <c:bubble3D val="0"/>
            <c:spPr>
              <a:solidFill>
                <a:schemeClr val="accent4">
                  <a:lumMod val="60000"/>
                  <a:alpha val="88000"/>
                </a:schemeClr>
              </a:solidFill>
              <a:ln>
                <a:solidFill>
                  <a:schemeClr val="accent4">
                    <a:lumMod val="60000"/>
                    <a:lumMod val="50000"/>
                  </a:schemeClr>
                </a:solidFill>
              </a:ln>
              <a:effectLst/>
              <a:scene3d>
                <a:camera prst="orthographicFront"/>
                <a:lightRig rig="threePt" dir="t"/>
              </a:scene3d>
              <a:sp3d prstMaterial="flat">
                <a:contourClr>
                  <a:schemeClr val="accent4">
                    <a:lumMod val="60000"/>
                    <a:lumMod val="50000"/>
                  </a:schemeClr>
                </a:contourClr>
              </a:sp3d>
            </c:spPr>
            <c:extLst>
              <c:ext xmlns:c16="http://schemas.microsoft.com/office/drawing/2014/chart" uri="{C3380CC4-5D6E-409C-BE32-E72D297353CC}">
                <c16:uniqueId val="{0000000A-B774-4C3A-AD14-2F6186F54CF5}"/>
              </c:ext>
            </c:extLst>
          </c:dPt>
          <c:dPt>
            <c:idx val="10"/>
            <c:invertIfNegative val="1"/>
            <c:bubble3D val="0"/>
            <c:spPr>
              <a:solidFill>
                <a:schemeClr val="accent5">
                  <a:lumMod val="60000"/>
                  <a:alpha val="88000"/>
                </a:schemeClr>
              </a:solidFill>
              <a:ln>
                <a:solidFill>
                  <a:schemeClr val="accent5">
                    <a:lumMod val="60000"/>
                    <a:lumMod val="50000"/>
                  </a:schemeClr>
                </a:solidFill>
              </a:ln>
              <a:effectLst/>
              <a:scene3d>
                <a:camera prst="orthographicFront"/>
                <a:lightRig rig="threePt" dir="t"/>
              </a:scene3d>
              <a:sp3d prstMaterial="flat">
                <a:contourClr>
                  <a:schemeClr val="accent5">
                    <a:lumMod val="60000"/>
                    <a:lumMod val="50000"/>
                  </a:schemeClr>
                </a:contourClr>
              </a:sp3d>
            </c:spPr>
            <c:extLst>
              <c:ext xmlns:c16="http://schemas.microsoft.com/office/drawing/2014/chart" uri="{C3380CC4-5D6E-409C-BE32-E72D297353CC}">
                <c16:uniqueId val="{0000000B-B774-4C3A-AD14-2F6186F54CF5}"/>
              </c:ext>
            </c:extLst>
          </c:dPt>
          <c:dPt>
            <c:idx val="11"/>
            <c:invertIfNegative val="1"/>
            <c:bubble3D val="0"/>
            <c:spPr>
              <a:solidFill>
                <a:schemeClr val="accent6">
                  <a:lumMod val="60000"/>
                  <a:alpha val="88000"/>
                </a:schemeClr>
              </a:solidFill>
              <a:ln>
                <a:solidFill>
                  <a:schemeClr val="accent6">
                    <a:lumMod val="60000"/>
                    <a:lumMod val="50000"/>
                  </a:schemeClr>
                </a:solidFill>
              </a:ln>
              <a:effectLst/>
              <a:scene3d>
                <a:camera prst="orthographicFront"/>
                <a:lightRig rig="threePt" dir="t"/>
              </a:scene3d>
              <a:sp3d prstMaterial="flat">
                <a:contourClr>
                  <a:schemeClr val="accent6">
                    <a:lumMod val="60000"/>
                    <a:lumMod val="50000"/>
                  </a:schemeClr>
                </a:contourClr>
              </a:sp3d>
            </c:spPr>
            <c:extLst>
              <c:ext xmlns:c16="http://schemas.microsoft.com/office/drawing/2014/chart" uri="{C3380CC4-5D6E-409C-BE32-E72D297353CC}">
                <c16:uniqueId val="{0000000C-B774-4C3A-AD14-2F6186F54CF5}"/>
              </c:ext>
            </c:extLst>
          </c:dPt>
          <c:dPt>
            <c:idx val="12"/>
            <c:invertIfNegative val="1"/>
            <c:bubble3D val="0"/>
            <c:spPr>
              <a:solidFill>
                <a:schemeClr val="accent1">
                  <a:lumMod val="80000"/>
                  <a:lumOff val="20000"/>
                  <a:alpha val="88000"/>
                </a:schemeClr>
              </a:solidFill>
              <a:ln>
                <a:solidFill>
                  <a:schemeClr val="accent1">
                    <a:lumMod val="80000"/>
                    <a:lumOff val="20000"/>
                    <a:lumMod val="50000"/>
                  </a:schemeClr>
                </a:solidFill>
              </a:ln>
              <a:effectLst/>
              <a:scene3d>
                <a:camera prst="orthographicFront"/>
                <a:lightRig rig="threePt" dir="t"/>
              </a:scene3d>
              <a:sp3d prstMaterial="flat">
                <a:contourClr>
                  <a:schemeClr val="accent1">
                    <a:lumMod val="80000"/>
                    <a:lumOff val="20000"/>
                    <a:lumMod val="50000"/>
                  </a:schemeClr>
                </a:contourClr>
              </a:sp3d>
            </c:spPr>
            <c:extLst>
              <c:ext xmlns:c16="http://schemas.microsoft.com/office/drawing/2014/chart" uri="{C3380CC4-5D6E-409C-BE32-E72D297353CC}">
                <c16:uniqueId val="{0000000D-B774-4C3A-AD14-2F6186F54CF5}"/>
              </c:ext>
            </c:extLst>
          </c:dPt>
          <c:dPt>
            <c:idx val="13"/>
            <c:invertIfNegative val="1"/>
            <c:bubble3D val="0"/>
            <c:spPr>
              <a:solidFill>
                <a:schemeClr val="accent2">
                  <a:lumMod val="80000"/>
                  <a:lumOff val="20000"/>
                  <a:alpha val="88000"/>
                </a:schemeClr>
              </a:solidFill>
              <a:ln>
                <a:solidFill>
                  <a:schemeClr val="accent2">
                    <a:lumMod val="80000"/>
                    <a:lumOff val="20000"/>
                    <a:lumMod val="50000"/>
                  </a:schemeClr>
                </a:solidFill>
              </a:ln>
              <a:effectLst/>
              <a:scene3d>
                <a:camera prst="orthographicFront"/>
                <a:lightRig rig="threePt" dir="t"/>
              </a:scene3d>
              <a:sp3d prstMaterial="flat">
                <a:contourClr>
                  <a:schemeClr val="accent2">
                    <a:lumMod val="80000"/>
                    <a:lumOff val="20000"/>
                    <a:lumMod val="50000"/>
                  </a:schemeClr>
                </a:contourClr>
              </a:sp3d>
            </c:spPr>
            <c:extLst>
              <c:ext xmlns:c16="http://schemas.microsoft.com/office/drawing/2014/chart" uri="{C3380CC4-5D6E-409C-BE32-E72D297353CC}">
                <c16:uniqueId val="{0000000E-B774-4C3A-AD14-2F6186F54CF5}"/>
              </c:ext>
            </c:extLst>
          </c:dPt>
          <c:dPt>
            <c:idx val="14"/>
            <c:invertIfNegative val="1"/>
            <c:bubble3D val="0"/>
            <c:spPr>
              <a:solidFill>
                <a:schemeClr val="accent3">
                  <a:lumMod val="80000"/>
                  <a:lumOff val="20000"/>
                  <a:alpha val="88000"/>
                </a:schemeClr>
              </a:solidFill>
              <a:ln>
                <a:solidFill>
                  <a:schemeClr val="accent3">
                    <a:lumMod val="80000"/>
                    <a:lumOff val="20000"/>
                    <a:lumMod val="50000"/>
                  </a:schemeClr>
                </a:solidFill>
              </a:ln>
              <a:effectLst/>
              <a:scene3d>
                <a:camera prst="orthographicFront"/>
                <a:lightRig rig="threePt" dir="t"/>
              </a:scene3d>
              <a:sp3d prstMaterial="flat">
                <a:contourClr>
                  <a:schemeClr val="accent3">
                    <a:lumMod val="80000"/>
                    <a:lumOff val="20000"/>
                    <a:lumMod val="50000"/>
                  </a:schemeClr>
                </a:contourClr>
              </a:sp3d>
            </c:spPr>
            <c:extLst>
              <c:ext xmlns:c16="http://schemas.microsoft.com/office/drawing/2014/chart" uri="{C3380CC4-5D6E-409C-BE32-E72D297353CC}">
                <c16:uniqueId val="{0000000F-B774-4C3A-AD14-2F6186F54CF5}"/>
              </c:ext>
            </c:extLst>
          </c:dPt>
          <c:dLbls>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B774-4C3A-AD14-2F6186F54CF5}"/>
                </c:ext>
              </c:extLst>
            </c:dLbl>
            <c:dLbl>
              <c:idx val="1"/>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B774-4C3A-AD14-2F6186F54CF5}"/>
                </c:ext>
              </c:extLst>
            </c:dLbl>
            <c:dLbl>
              <c:idx val="2"/>
              <c:spPr>
                <a:solidFill>
                  <a:schemeClr val="accent3">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B774-4C3A-AD14-2F6186F54CF5}"/>
                </c:ext>
              </c:extLst>
            </c:dLbl>
            <c:dLbl>
              <c:idx val="3"/>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4-B774-4C3A-AD14-2F6186F54CF5}"/>
                </c:ext>
              </c:extLst>
            </c:dLbl>
            <c:dLbl>
              <c:idx val="4"/>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B774-4C3A-AD14-2F6186F54CF5}"/>
                </c:ext>
              </c:extLst>
            </c:dLbl>
            <c:dLbl>
              <c:idx val="5"/>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6-B774-4C3A-AD14-2F6186F54CF5}"/>
                </c:ext>
              </c:extLst>
            </c:dLbl>
            <c:dLbl>
              <c:idx val="6"/>
              <c:spPr>
                <a:solidFill>
                  <a:schemeClr val="accent1">
                    <a:lumMod val="60000"/>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7-B774-4C3A-AD14-2F6186F54CF5}"/>
                </c:ext>
              </c:extLst>
            </c:dLbl>
            <c:dLbl>
              <c:idx val="7"/>
              <c:spPr>
                <a:solidFill>
                  <a:schemeClr val="accent2">
                    <a:lumMod val="60000"/>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8-B774-4C3A-AD14-2F6186F54CF5}"/>
                </c:ext>
              </c:extLst>
            </c:dLbl>
            <c:dLbl>
              <c:idx val="8"/>
              <c:spPr>
                <a:solidFill>
                  <a:schemeClr val="accent3">
                    <a:lumMod val="60000"/>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9-B774-4C3A-AD14-2F6186F54CF5}"/>
                </c:ext>
              </c:extLst>
            </c:dLbl>
            <c:dLbl>
              <c:idx val="9"/>
              <c:spPr>
                <a:solidFill>
                  <a:schemeClr val="accent4">
                    <a:lumMod val="60000"/>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A-B774-4C3A-AD14-2F6186F54CF5}"/>
                </c:ext>
              </c:extLst>
            </c:dLbl>
            <c:dLbl>
              <c:idx val="10"/>
              <c:spPr>
                <a:solidFill>
                  <a:schemeClr val="accent5">
                    <a:lumMod val="60000"/>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B-B774-4C3A-AD14-2F6186F54CF5}"/>
                </c:ext>
              </c:extLst>
            </c:dLbl>
            <c:dLbl>
              <c:idx val="11"/>
              <c:spPr>
                <a:solidFill>
                  <a:schemeClr val="accent6">
                    <a:lumMod val="60000"/>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C-B774-4C3A-AD14-2F6186F54CF5}"/>
                </c:ext>
              </c:extLst>
            </c:dLbl>
            <c:dLbl>
              <c:idx val="12"/>
              <c:spPr>
                <a:solidFill>
                  <a:schemeClr val="accent1">
                    <a:lumMod val="80000"/>
                    <a:lumOff val="20000"/>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D-B774-4C3A-AD14-2F6186F54CF5}"/>
                </c:ext>
              </c:extLst>
            </c:dLbl>
            <c:dLbl>
              <c:idx val="13"/>
              <c:spPr>
                <a:solidFill>
                  <a:schemeClr val="accent2">
                    <a:lumMod val="80000"/>
                    <a:lumOff val="20000"/>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E-B774-4C3A-AD14-2F6186F54CF5}"/>
                </c:ext>
              </c:extLst>
            </c:dLbl>
            <c:dLbl>
              <c:idx val="14"/>
              <c:spPr>
                <a:solidFill>
                  <a:schemeClr val="accent3">
                    <a:lumMod val="80000"/>
                    <a:lumOff val="20000"/>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F-B774-4C3A-AD14-2F6186F54CF5}"/>
                </c:ext>
              </c:extLst>
            </c:dLb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'[1]Issue Prioritization'!$A$2:$A$16</c:f>
              <c:strCache>
                <c:ptCount val="15"/>
                <c:pt idx="0">
                  <c:v>Looking For Career Guidance (NPS)</c:v>
                </c:pt>
                <c:pt idx="1">
                  <c:v>Applied for jobs but no satisfactory outcome (NPS)</c:v>
                </c:pt>
                <c:pt idx="2">
                  <c:v>Time Management Related Concerns (NPS)</c:v>
                </c:pt>
                <c:pt idx="3">
                  <c:v>Projects &amp; Assignment Related Concern (NPS)</c:v>
                </c:pt>
                <c:pt idx="4">
                  <c:v>False Promise By Sales Team (NPS)</c:v>
                </c:pt>
                <c:pt idx="5">
                  <c:v>Mentor Support Related Concerns (NPS)</c:v>
                </c:pt>
                <c:pt idx="6">
                  <c:v>Unhappy With The Class Timings (NPS)</c:v>
                </c:pt>
                <c:pt idx="7">
                  <c:v>Frequent Resume Rejection (NPS)</c:v>
                </c:pt>
                <c:pt idx="8">
                  <c:v>TA Support Related Concerns (NPS)</c:v>
                </c:pt>
                <c:pt idx="9">
                  <c:v>Lecture Notes Related (NPS)</c:v>
                </c:pt>
                <c:pt idx="10">
                  <c:v>Poor Class video quality (NPS)</c:v>
                </c:pt>
                <c:pt idx="11">
                  <c:v>Not eligible for placements (NPS)</c:v>
                </c:pt>
                <c:pt idx="12">
                  <c:v>Instructor Related Feedback (NPS)</c:v>
                </c:pt>
                <c:pt idx="13">
                  <c:v>Unhappy With Course Curriculum (NPS)</c:v>
                </c:pt>
                <c:pt idx="14">
                  <c:v>Grand Total</c:v>
                </c:pt>
              </c:strCache>
            </c:strRef>
          </c:cat>
          <c:val>
            <c:numRef>
              <c:f>'[1]Issue Prioritization'!$B$2:$B$16</c:f>
              <c:numCache>
                <c:formatCode>General</c:formatCode>
                <c:ptCount val="15"/>
                <c:pt idx="0">
                  <c:v>21</c:v>
                </c:pt>
                <c:pt idx="1">
                  <c:v>19</c:v>
                </c:pt>
                <c:pt idx="2">
                  <c:v>18</c:v>
                </c:pt>
                <c:pt idx="3">
                  <c:v>18</c:v>
                </c:pt>
                <c:pt idx="4">
                  <c:v>18</c:v>
                </c:pt>
                <c:pt idx="5">
                  <c:v>17</c:v>
                </c:pt>
                <c:pt idx="6">
                  <c:v>16</c:v>
                </c:pt>
                <c:pt idx="7">
                  <c:v>16</c:v>
                </c:pt>
                <c:pt idx="8">
                  <c:v>16</c:v>
                </c:pt>
                <c:pt idx="9">
                  <c:v>14</c:v>
                </c:pt>
                <c:pt idx="10">
                  <c:v>14</c:v>
                </c:pt>
                <c:pt idx="11">
                  <c:v>14</c:v>
                </c:pt>
                <c:pt idx="12">
                  <c:v>14</c:v>
                </c:pt>
                <c:pt idx="13">
                  <c:v>10</c:v>
                </c:pt>
                <c:pt idx="14">
                  <c:v>225</c:v>
                </c:pt>
              </c:numCache>
            </c:numRef>
          </c:val>
          <c:extLst>
            <c:ext xmlns:c16="http://schemas.microsoft.com/office/drawing/2014/chart" uri="{C3380CC4-5D6E-409C-BE32-E72D297353CC}">
              <c16:uniqueId val="{00000000-B774-4C3A-AD14-2F6186F54CF5}"/>
            </c:ext>
          </c:extLst>
        </c:ser>
        <c:dLbls>
          <c:showLegendKey val="0"/>
          <c:showVal val="1"/>
          <c:showCatName val="0"/>
          <c:showSerName val="0"/>
          <c:showPercent val="0"/>
          <c:showBubbleSize val="0"/>
        </c:dLbls>
        <c:gapWidth val="84"/>
        <c:gapDepth val="53"/>
        <c:shape val="box"/>
        <c:axId val="1702512022"/>
        <c:axId val="1069508194"/>
        <c:axId val="0"/>
      </c:bar3DChart>
      <c:catAx>
        <c:axId val="170251202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Issue 2 - NPS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9508194"/>
        <c:crosses val="autoZero"/>
        <c:auto val="1"/>
        <c:lblAlgn val="ctr"/>
        <c:lblOffset val="100"/>
        <c:noMultiLvlLbl val="1"/>
      </c:catAx>
      <c:valAx>
        <c:axId val="1069508194"/>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Number of Tickets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1702512022"/>
        <c:crosses val="autoZero"/>
        <c:crossBetween val="between"/>
      </c:valAx>
      <c:spPr>
        <a:noFill/>
        <a:ln>
          <a:noFill/>
        </a:ln>
        <a:effectLst/>
      </c:spPr>
    </c:plotArea>
    <c:plotVisOnly val="1"/>
    <c:dispBlanksAs val="zero"/>
    <c:showDLblsOverMax val="1"/>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Issue Distribution Across Programs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explosion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829-40B0-A17A-8A48FE8A01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829-40B0-A17A-8A48FE8A012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829-40B0-A17A-8A48FE8A012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829-40B0-A17A-8A48FE8A012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A829-40B0-A17A-8A48FE8A012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A829-40B0-A17A-8A48FE8A0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'[1]Trend Analysis'!$F$5:$F$10</c:f>
              <c:strCache>
                <c:ptCount val="6"/>
                <c:pt idx="0">
                  <c:v>COUNTA of Ticket No</c:v>
                </c:pt>
                <c:pt idx="1">
                  <c:v>Program Name</c:v>
                </c:pt>
                <c:pt idx="2">
                  <c:v>Academy</c:v>
                </c:pt>
                <c:pt idx="3">
                  <c:v>AIML</c:v>
                </c:pt>
                <c:pt idx="4">
                  <c:v>DevOps</c:v>
                </c:pt>
                <c:pt idx="5">
                  <c:v>DSML</c:v>
                </c:pt>
              </c:strCache>
            </c:strRef>
          </c:cat>
          <c:val>
            <c:numRef>
              <c:f>'[1]Trend Analysis'!$G$5:$G$10</c:f>
              <c:numCache>
                <c:formatCode>General</c:formatCode>
                <c:ptCount val="6"/>
                <c:pt idx="0">
                  <c:v>0</c:v>
                </c:pt>
                <c:pt idx="1">
                  <c:v>0</c:v>
                </c:pt>
                <c:pt idx="2">
                  <c:v>6</c:v>
                </c:pt>
                <c:pt idx="3">
                  <c:v>8</c:v>
                </c:pt>
                <c:pt idx="4">
                  <c:v>2</c:v>
                </c:pt>
                <c:pt idx="5">
                  <c:v>3</c:v>
                </c:pt>
              </c:numCache>
            </c:numRef>
          </c:val>
          <c:extLst>
            <c:ext xmlns:c16="http://schemas.microsoft.com/office/drawing/2014/chart" uri="{C3380CC4-5D6E-409C-BE32-E72D297353CC}">
              <c16:uniqueId val="{0000000C-A829-40B0-A17A-8A48FE8A0127}"/>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Resolution Time vs. Issue 2 - NPS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'[1]Issue Prioritization'!$C$29</c:f>
              <c:strCache>
                <c:ptCount val="1"/>
                <c:pt idx="0">
                  <c:v>AVERAGE of Resolution Time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'[1]Issue Prioritization'!$B$30:$B$43</c:f>
              <c:strCache>
                <c:ptCount val="14"/>
                <c:pt idx="0">
                  <c:v>Instructor Related Feedback (NPS)</c:v>
                </c:pt>
                <c:pt idx="1">
                  <c:v>Mentor Support Related Concerns (NPS)</c:v>
                </c:pt>
                <c:pt idx="2">
                  <c:v>Looking For Career Guidance (NPS)</c:v>
                </c:pt>
                <c:pt idx="3">
                  <c:v>Time Management Related Concerns (NPS)</c:v>
                </c:pt>
                <c:pt idx="4">
                  <c:v>Frequent Resume Rejection (NPS)</c:v>
                </c:pt>
                <c:pt idx="5">
                  <c:v>False Promise By Sales Team (NPS)</c:v>
                </c:pt>
                <c:pt idx="6">
                  <c:v>Projects &amp; Assignment Related Concern (NPS)</c:v>
                </c:pt>
                <c:pt idx="7">
                  <c:v>Not eligible for placements (NPS)</c:v>
                </c:pt>
                <c:pt idx="8">
                  <c:v>TA Support Related Concerns (NPS)</c:v>
                </c:pt>
                <c:pt idx="9">
                  <c:v>Unhappy With The Class Timings (NPS)</c:v>
                </c:pt>
                <c:pt idx="10">
                  <c:v>Applied for jobs but no satisfactory outcome (NPS)</c:v>
                </c:pt>
                <c:pt idx="11">
                  <c:v>Poor Class video quality (NPS)</c:v>
                </c:pt>
                <c:pt idx="12">
                  <c:v>Unhappy With Course Curriculum (NPS)</c:v>
                </c:pt>
                <c:pt idx="13">
                  <c:v>Lecture Notes Related (NPS)</c:v>
                </c:pt>
              </c:strCache>
            </c:strRef>
          </c:cat>
          <c:val>
            <c:numRef>
              <c:f>'[1]Issue Prioritization'!$C$30:$C$43</c:f>
              <c:numCache>
                <c:formatCode>General</c:formatCode>
                <c:ptCount val="14"/>
                <c:pt idx="0">
                  <c:v>7.8888888888888893</c:v>
                </c:pt>
                <c:pt idx="1">
                  <c:v>7.7272727272727275</c:v>
                </c:pt>
                <c:pt idx="2">
                  <c:v>7.5</c:v>
                </c:pt>
                <c:pt idx="3">
                  <c:v>7.4615384615384617</c:v>
                </c:pt>
                <c:pt idx="4">
                  <c:v>7.3</c:v>
                </c:pt>
                <c:pt idx="5">
                  <c:v>7.125</c:v>
                </c:pt>
                <c:pt idx="6">
                  <c:v>7</c:v>
                </c:pt>
                <c:pt idx="7">
                  <c:v>6.8888888888888893</c:v>
                </c:pt>
                <c:pt idx="8">
                  <c:v>6.666666666666667</c:v>
                </c:pt>
                <c:pt idx="9">
                  <c:v>6.2727272727272725</c:v>
                </c:pt>
                <c:pt idx="10">
                  <c:v>6.2142857142857144</c:v>
                </c:pt>
                <c:pt idx="11">
                  <c:v>6.166666666666667</c:v>
                </c:pt>
                <c:pt idx="12">
                  <c:v>5.5</c:v>
                </c:pt>
                <c:pt idx="13">
                  <c:v>5.2727272727272725</c:v>
                </c:pt>
              </c:numCache>
            </c:numRef>
          </c:val>
          <c:smooth val="1"/>
          <c:extLst>
            <c:ext xmlns:c16="http://schemas.microsoft.com/office/drawing/2014/chart" uri="{C3380CC4-5D6E-409C-BE32-E72D297353CC}">
              <c16:uniqueId val="{00000000-15A2-4C21-8258-F5D780DDD0B3}"/>
            </c:ext>
          </c:extLst>
        </c:ser>
        <c:dLbls>
          <c:showLegendKey val="0"/>
          <c:showVal val="0"/>
          <c:showCatName val="0"/>
          <c:showSerName val="0"/>
          <c:showPercent val="0"/>
          <c:showBubbleSize val="0"/>
        </c:dLbls>
        <c:smooth val="0"/>
        <c:axId val="1537410553"/>
        <c:axId val="1840808612"/>
      </c:lineChart>
      <c:catAx>
        <c:axId val="153741055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Issue 2 - NPS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0808612"/>
        <c:crosses val="autoZero"/>
        <c:auto val="1"/>
        <c:lblAlgn val="ctr"/>
        <c:lblOffset val="100"/>
        <c:noMultiLvlLbl val="1"/>
      </c:catAx>
      <c:valAx>
        <c:axId val="18408086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AVERAGE of Resolution Time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741055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Number of Ticket  vs. Created Date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'[1]Trend Analysis'!$C$5</c:f>
              <c:strCache>
                <c:ptCount val="1"/>
                <c:pt idx="0">
                  <c:v>COUNTA of Ticket No</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'[1]Trend Analysis'!$B$6:$B$56</c:f>
              <c:numCache>
                <c:formatCode>General</c:formatCode>
                <c:ptCount val="51"/>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45907</c:v>
                </c:pt>
                <c:pt idx="37">
                  <c:v>45908</c:v>
                </c:pt>
                <c:pt idx="38">
                  <c:v>45909</c:v>
                </c:pt>
                <c:pt idx="39">
                  <c:v>45910</c:v>
                </c:pt>
                <c:pt idx="40">
                  <c:v>45911</c:v>
                </c:pt>
                <c:pt idx="41">
                  <c:v>45912</c:v>
                </c:pt>
                <c:pt idx="42">
                  <c:v>45913</c:v>
                </c:pt>
                <c:pt idx="43">
                  <c:v>45914</c:v>
                </c:pt>
                <c:pt idx="44">
                  <c:v>45915</c:v>
                </c:pt>
                <c:pt idx="45">
                  <c:v>45916</c:v>
                </c:pt>
                <c:pt idx="46">
                  <c:v>45917</c:v>
                </c:pt>
                <c:pt idx="47">
                  <c:v>45918</c:v>
                </c:pt>
                <c:pt idx="48">
                  <c:v>45919</c:v>
                </c:pt>
                <c:pt idx="49">
                  <c:v>45920</c:v>
                </c:pt>
                <c:pt idx="50">
                  <c:v>45921</c:v>
                </c:pt>
              </c:numCache>
            </c:numRef>
          </c:cat>
          <c:val>
            <c:numRef>
              <c:f>'[1]Trend Analysis'!$C$6:$C$56</c:f>
              <c:numCache>
                <c:formatCode>General</c:formatCode>
                <c:ptCount val="51"/>
                <c:pt idx="0">
                  <c:v>5</c:v>
                </c:pt>
                <c:pt idx="1">
                  <c:v>4</c:v>
                </c:pt>
                <c:pt idx="2">
                  <c:v>6</c:v>
                </c:pt>
                <c:pt idx="3">
                  <c:v>5</c:v>
                </c:pt>
                <c:pt idx="4">
                  <c:v>6</c:v>
                </c:pt>
                <c:pt idx="5">
                  <c:v>3</c:v>
                </c:pt>
                <c:pt idx="6">
                  <c:v>2</c:v>
                </c:pt>
                <c:pt idx="7">
                  <c:v>2</c:v>
                </c:pt>
                <c:pt idx="8">
                  <c:v>10</c:v>
                </c:pt>
                <c:pt idx="9">
                  <c:v>4</c:v>
                </c:pt>
                <c:pt idx="10">
                  <c:v>3</c:v>
                </c:pt>
                <c:pt idx="11">
                  <c:v>3</c:v>
                </c:pt>
                <c:pt idx="12">
                  <c:v>5</c:v>
                </c:pt>
                <c:pt idx="13">
                  <c:v>3</c:v>
                </c:pt>
                <c:pt idx="14">
                  <c:v>4</c:v>
                </c:pt>
                <c:pt idx="15">
                  <c:v>3</c:v>
                </c:pt>
                <c:pt idx="16">
                  <c:v>3</c:v>
                </c:pt>
                <c:pt idx="17">
                  <c:v>4</c:v>
                </c:pt>
                <c:pt idx="18">
                  <c:v>4</c:v>
                </c:pt>
                <c:pt idx="19">
                  <c:v>5</c:v>
                </c:pt>
                <c:pt idx="20">
                  <c:v>6</c:v>
                </c:pt>
                <c:pt idx="21">
                  <c:v>5</c:v>
                </c:pt>
                <c:pt idx="22">
                  <c:v>6</c:v>
                </c:pt>
                <c:pt idx="23">
                  <c:v>5</c:v>
                </c:pt>
                <c:pt idx="24">
                  <c:v>2</c:v>
                </c:pt>
                <c:pt idx="25">
                  <c:v>2</c:v>
                </c:pt>
                <c:pt idx="26">
                  <c:v>7</c:v>
                </c:pt>
                <c:pt idx="27">
                  <c:v>4</c:v>
                </c:pt>
                <c:pt idx="28">
                  <c:v>4</c:v>
                </c:pt>
                <c:pt idx="29">
                  <c:v>5</c:v>
                </c:pt>
                <c:pt idx="30">
                  <c:v>10</c:v>
                </c:pt>
                <c:pt idx="31">
                  <c:v>4</c:v>
                </c:pt>
                <c:pt idx="32">
                  <c:v>3</c:v>
                </c:pt>
                <c:pt idx="33">
                  <c:v>4</c:v>
                </c:pt>
                <c:pt idx="34">
                  <c:v>2</c:v>
                </c:pt>
                <c:pt idx="35">
                  <c:v>3</c:v>
                </c:pt>
                <c:pt idx="36">
                  <c:v>2</c:v>
                </c:pt>
                <c:pt idx="37">
                  <c:v>4</c:v>
                </c:pt>
                <c:pt idx="38">
                  <c:v>2</c:v>
                </c:pt>
                <c:pt idx="39">
                  <c:v>4</c:v>
                </c:pt>
                <c:pt idx="40">
                  <c:v>2</c:v>
                </c:pt>
                <c:pt idx="41">
                  <c:v>7</c:v>
                </c:pt>
                <c:pt idx="42">
                  <c:v>7</c:v>
                </c:pt>
                <c:pt idx="43">
                  <c:v>7</c:v>
                </c:pt>
                <c:pt idx="44">
                  <c:v>5</c:v>
                </c:pt>
                <c:pt idx="45">
                  <c:v>3</c:v>
                </c:pt>
                <c:pt idx="46">
                  <c:v>5</c:v>
                </c:pt>
                <c:pt idx="47">
                  <c:v>3</c:v>
                </c:pt>
                <c:pt idx="48">
                  <c:v>6</c:v>
                </c:pt>
                <c:pt idx="49">
                  <c:v>6</c:v>
                </c:pt>
                <c:pt idx="50">
                  <c:v>6</c:v>
                </c:pt>
              </c:numCache>
            </c:numRef>
          </c:val>
          <c:smooth val="1"/>
          <c:extLst>
            <c:ext xmlns:c16="http://schemas.microsoft.com/office/drawing/2014/chart" uri="{C3380CC4-5D6E-409C-BE32-E72D297353CC}">
              <c16:uniqueId val="{00000000-D960-423E-A7ED-EF7771390462}"/>
            </c:ext>
          </c:extLst>
        </c:ser>
        <c:dLbls>
          <c:showLegendKey val="0"/>
          <c:showVal val="0"/>
          <c:showCatName val="0"/>
          <c:showSerName val="0"/>
          <c:showPercent val="0"/>
          <c:showBubbleSize val="0"/>
        </c:dLbls>
        <c:smooth val="0"/>
        <c:axId val="1343936697"/>
        <c:axId val="2051979605"/>
      </c:lineChart>
      <c:catAx>
        <c:axId val="134393669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Created 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1979605"/>
        <c:crosses val="autoZero"/>
        <c:auto val="1"/>
        <c:lblAlgn val="ctr"/>
        <c:lblOffset val="100"/>
        <c:noMultiLvlLbl val="0"/>
      </c:catAx>
      <c:valAx>
        <c:axId val="205197960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Number of Tickets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393669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Resolution Time vs. Assigned To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1"/>
        <c:ser>
          <c:idx val="0"/>
          <c:order val="0"/>
          <c:tx>
            <c:strRef>
              <c:f>'[1]Trend Analysis'!$G$16</c:f>
              <c:strCache>
                <c:ptCount val="1"/>
                <c:pt idx="0">
                  <c:v>AVERAGE of Resolution Time</c:v>
                </c:pt>
              </c:strCache>
            </c:strRef>
          </c:tx>
          <c:invertIfNegative val="1"/>
          <c:dPt>
            <c:idx val="0"/>
            <c:invertIfNegative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invertIfNegative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invertIfNegative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invertIfNegative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invertIfNegative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invertIfNegative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invertIfNegative val="1"/>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invertIfNegative val="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invertIfNegative val="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invertIfNegative val="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'[1]Trend Analysis'!$F$17:$F$26</c:f>
              <c:strCache>
                <c:ptCount val="10"/>
                <c:pt idx="0">
                  <c:v>Amit Patel</c:v>
                </c:pt>
                <c:pt idx="1">
                  <c:v>Carlos Martinez</c:v>
                </c:pt>
                <c:pt idx="2">
                  <c:v>David Wilson</c:v>
                </c:pt>
                <c:pt idx="3">
                  <c:v>Jessica Kim</c:v>
                </c:pt>
                <c:pt idx="4">
                  <c:v>Lisa Rodriguez</c:v>
                </c:pt>
                <c:pt idx="5">
                  <c:v>Mike Chen</c:v>
                </c:pt>
                <c:pt idx="6">
                  <c:v>Priya Sharma</c:v>
                </c:pt>
                <c:pt idx="7">
                  <c:v>Rohit Gupta</c:v>
                </c:pt>
                <c:pt idx="8">
                  <c:v>Sarah Johnson</c:v>
                </c:pt>
                <c:pt idx="9">
                  <c:v>Sneha Reddy</c:v>
                </c:pt>
              </c:strCache>
            </c:strRef>
          </c:cat>
          <c:val>
            <c:numRef>
              <c:f>'[1]Trend Analysis'!$G$17:$G$26</c:f>
              <c:numCache>
                <c:formatCode>General</c:formatCode>
                <c:ptCount val="10"/>
                <c:pt idx="0">
                  <c:v>5.8</c:v>
                </c:pt>
                <c:pt idx="1">
                  <c:v>6.7692307692307692</c:v>
                </c:pt>
                <c:pt idx="2">
                  <c:v>5.9230769230769234</c:v>
                </c:pt>
                <c:pt idx="3">
                  <c:v>6.612903225806452</c:v>
                </c:pt>
                <c:pt idx="4">
                  <c:v>6.8235294117647056</c:v>
                </c:pt>
                <c:pt idx="5">
                  <c:v>7.833333333333333</c:v>
                </c:pt>
                <c:pt idx="6">
                  <c:v>4.8666666666666663</c:v>
                </c:pt>
                <c:pt idx="7">
                  <c:v>6</c:v>
                </c:pt>
                <c:pt idx="8">
                  <c:v>9.2727272727272734</c:v>
                </c:pt>
                <c:pt idx="9">
                  <c:v>8.9090909090909083</c:v>
                </c:pt>
              </c:numCache>
            </c:numRef>
          </c:val>
          <c:extLst>
            <c:ext xmlns:c16="http://schemas.microsoft.com/office/drawing/2014/chart" uri="{C3380CC4-5D6E-409C-BE32-E72D297353CC}">
              <c16:uniqueId val="{00000000-BC6C-4BFD-BE77-D9452765DE05}"/>
            </c:ext>
          </c:extLst>
        </c:ser>
        <c:dLbls>
          <c:showLegendKey val="0"/>
          <c:showVal val="0"/>
          <c:showCatName val="0"/>
          <c:showSerName val="0"/>
          <c:showPercent val="0"/>
          <c:showBubbleSize val="0"/>
        </c:dLbls>
        <c:gapWidth val="150"/>
        <c:shape val="box"/>
        <c:axId val="2082061200"/>
        <c:axId val="1273595007"/>
        <c:axId val="0"/>
      </c:bar3DChart>
      <c:catAx>
        <c:axId val="2082061200"/>
        <c:scaling>
          <c:orientation val="maxMin"/>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Assigned To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3595007"/>
        <c:crosses val="autoZero"/>
        <c:auto val="1"/>
        <c:lblAlgn val="ctr"/>
        <c:lblOffset val="100"/>
        <c:noMultiLvlLbl val="1"/>
      </c:catAx>
      <c:valAx>
        <c:axId val="1273595007"/>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Avg Resolution Time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2061200"/>
        <c:crosses val="max"/>
        <c:crossBetween val="between"/>
      </c:valAx>
      <c:spPr>
        <a:noFill/>
        <a:ln>
          <a:noFill/>
        </a:ln>
        <a:effectLst/>
      </c:spPr>
    </c:plotArea>
    <c:plotVisOnly val="1"/>
    <c:dispBlanksAs val="zero"/>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Ticket Count vs. Program Name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1"/>
        <c:ser>
          <c:idx val="0"/>
          <c:order val="0"/>
          <c:tx>
            <c:strRef>
              <c:f>'[1]Trend Analysis'!$G$31</c:f>
              <c:strCache>
                <c:ptCount val="1"/>
                <c:pt idx="0">
                  <c:v>COUNTA of Ticket No</c:v>
                </c:pt>
              </c:strCache>
            </c:strRef>
          </c:tx>
          <c:invertIfNegative val="1"/>
          <c:dPt>
            <c:idx val="0"/>
            <c:invertIfNegative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invertIfNegative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invertIfNegative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invertIfNegative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'[1]Trend Analysis'!$F$32:$F$35</c:f>
              <c:strCache>
                <c:ptCount val="4"/>
                <c:pt idx="0">
                  <c:v>Academy</c:v>
                </c:pt>
                <c:pt idx="1">
                  <c:v>AIML</c:v>
                </c:pt>
                <c:pt idx="2">
                  <c:v>DevOps</c:v>
                </c:pt>
                <c:pt idx="3">
                  <c:v>DSML</c:v>
                </c:pt>
              </c:strCache>
            </c:strRef>
          </c:cat>
          <c:val>
            <c:numRef>
              <c:f>'[1]Trend Analysis'!$G$32:$G$35</c:f>
              <c:numCache>
                <c:formatCode>General</c:formatCode>
                <c:ptCount val="4"/>
                <c:pt idx="0">
                  <c:v>63</c:v>
                </c:pt>
                <c:pt idx="1">
                  <c:v>47</c:v>
                </c:pt>
                <c:pt idx="2">
                  <c:v>52</c:v>
                </c:pt>
                <c:pt idx="3">
                  <c:v>63</c:v>
                </c:pt>
              </c:numCache>
            </c:numRef>
          </c:val>
          <c:extLst>
            <c:ext xmlns:c16="http://schemas.microsoft.com/office/drawing/2014/chart" uri="{C3380CC4-5D6E-409C-BE32-E72D297353CC}">
              <c16:uniqueId val="{00000000-03C3-4BF7-89A6-8D5B1F116EB1}"/>
            </c:ext>
          </c:extLst>
        </c:ser>
        <c:dLbls>
          <c:showLegendKey val="0"/>
          <c:showVal val="0"/>
          <c:showCatName val="0"/>
          <c:showSerName val="0"/>
          <c:showPercent val="0"/>
          <c:showBubbleSize val="0"/>
        </c:dLbls>
        <c:gapWidth val="150"/>
        <c:shape val="box"/>
        <c:axId val="1644518"/>
        <c:axId val="1665570204"/>
        <c:axId val="0"/>
      </c:bar3DChart>
      <c:catAx>
        <c:axId val="164451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Program Name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5570204"/>
        <c:crosses val="autoZero"/>
        <c:auto val="1"/>
        <c:lblAlgn val="ctr"/>
        <c:lblOffset val="100"/>
        <c:noMultiLvlLbl val="1"/>
      </c:catAx>
      <c:valAx>
        <c:axId val="1665570204"/>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Number of Tickets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451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Avg Resolution Time</a:t>
            </a:r>
          </a:p>
        </c:rich>
      </c:tx>
      <c:layout>
        <c:manualLayout>
          <c:xMode val="edge"/>
          <c:yMode val="edge"/>
          <c:x val="0.23159802540260541"/>
          <c:y val="4.509588868417209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8.7331210728574929E-2"/>
          <c:y val="0.16689977911068038"/>
          <c:w val="0.59408108779033764"/>
          <c:h val="0.6905502152142976"/>
        </c:manualLayout>
      </c:layout>
      <c:doughnutChart>
        <c:varyColors val="1"/>
        <c:ser>
          <c:idx val="0"/>
          <c:order val="0"/>
          <c:tx>
            <c:strRef>
              <c:f>'[1]Trend Analysis'!$F$42</c:f>
              <c:strCache>
                <c:ptCount val="1"/>
                <c:pt idx="0">
                  <c:v>Program Name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7AA-4E15-91F3-533EF0DC88D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'[1]Trend Analysis'!$G$41:$S$41</c:f>
              <c:strCache>
                <c:ptCount val="13"/>
                <c:pt idx="0">
                  <c:v>Resolution Time</c:v>
                </c:pt>
              </c:strCache>
            </c:strRef>
          </c:cat>
          <c:val>
            <c:numRef>
              <c:f>'[1]Trend Analysis'!$G$42:$S$42</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0</c:v>
                </c:pt>
              </c:numCache>
            </c:numRef>
          </c:val>
          <c:extLst>
            <c:ext xmlns:c16="http://schemas.microsoft.com/office/drawing/2014/chart" uri="{C3380CC4-5D6E-409C-BE32-E72D297353CC}">
              <c16:uniqueId val="{00000002-47AA-4E15-91F3-533EF0DC88D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zero"/>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xdr:colOff>
      <xdr:row>7</xdr:row>
      <xdr:rowOff>29880</xdr:rowOff>
    </xdr:from>
    <xdr:to>
      <xdr:col>2</xdr:col>
      <xdr:colOff>3413761</xdr:colOff>
      <xdr:row>22</xdr:row>
      <xdr:rowOff>21490</xdr:rowOff>
    </xdr:to>
    <xdr:graphicFrame macro="">
      <xdr:nvGraphicFramePr>
        <xdr:cNvPr id="2" name="Chart 1">
          <a:extLst>
            <a:ext uri="{FF2B5EF4-FFF2-40B4-BE49-F238E27FC236}">
              <a16:creationId xmlns:a16="http://schemas.microsoft.com/office/drawing/2014/main" id="{1BAB7552-74F4-4E25-CCA3-F0619E91D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33</xdr:row>
      <xdr:rowOff>140095</xdr:rowOff>
    </xdr:from>
    <xdr:to>
      <xdr:col>5</xdr:col>
      <xdr:colOff>20052</xdr:colOff>
      <xdr:row>57</xdr:row>
      <xdr:rowOff>131296</xdr:rowOff>
    </xdr:to>
    <xdr:graphicFrame macro="">
      <xdr:nvGraphicFramePr>
        <xdr:cNvPr id="2" name="Chart 1">
          <a:extLst>
            <a:ext uri="{FF2B5EF4-FFF2-40B4-BE49-F238E27FC236}">
              <a16:creationId xmlns:a16="http://schemas.microsoft.com/office/drawing/2014/main" id="{711B5C3C-B082-6525-0475-C6AB3352E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106</xdr:row>
      <xdr:rowOff>19615</xdr:rowOff>
    </xdr:from>
    <xdr:to>
      <xdr:col>6</xdr:col>
      <xdr:colOff>8467</xdr:colOff>
      <xdr:row>127</xdr:row>
      <xdr:rowOff>93133</xdr:rowOff>
    </xdr:to>
    <xdr:graphicFrame macro="">
      <xdr:nvGraphicFramePr>
        <xdr:cNvPr id="3" name="Chart 2">
          <a:extLst>
            <a:ext uri="{FF2B5EF4-FFF2-40B4-BE49-F238E27FC236}">
              <a16:creationId xmlns:a16="http://schemas.microsoft.com/office/drawing/2014/main" id="{6CCAE472-C664-00B3-1643-1B0D2CD347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152</xdr:row>
      <xdr:rowOff>7793</xdr:rowOff>
    </xdr:from>
    <xdr:to>
      <xdr:col>9</xdr:col>
      <xdr:colOff>567612</xdr:colOff>
      <xdr:row>168</xdr:row>
      <xdr:rowOff>7793</xdr:rowOff>
    </xdr:to>
    <xdr:graphicFrame macro="">
      <xdr:nvGraphicFramePr>
        <xdr:cNvPr id="7" name="Chart 6">
          <a:extLst>
            <a:ext uri="{FF2B5EF4-FFF2-40B4-BE49-F238E27FC236}">
              <a16:creationId xmlns:a16="http://schemas.microsoft.com/office/drawing/2014/main" id="{C9BA6CFE-6264-4581-9593-925E1F258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156210</xdr:rowOff>
    </xdr:from>
    <xdr:to>
      <xdr:col>7</xdr:col>
      <xdr:colOff>381000</xdr:colOff>
      <xdr:row>30</xdr:row>
      <xdr:rowOff>144780</xdr:rowOff>
    </xdr:to>
    <xdr:graphicFrame macro="">
      <xdr:nvGraphicFramePr>
        <xdr:cNvPr id="3" name="Chart 2">
          <a:extLst>
            <a:ext uri="{FF2B5EF4-FFF2-40B4-BE49-F238E27FC236}">
              <a16:creationId xmlns:a16="http://schemas.microsoft.com/office/drawing/2014/main" id="{10D550E1-3A06-AE1A-BB71-6CA362063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40</xdr:row>
      <xdr:rowOff>19050</xdr:rowOff>
    </xdr:from>
    <xdr:to>
      <xdr:col>5</xdr:col>
      <xdr:colOff>175260</xdr:colOff>
      <xdr:row>52</xdr:row>
      <xdr:rowOff>144780</xdr:rowOff>
    </xdr:to>
    <xdr:graphicFrame macro="">
      <xdr:nvGraphicFramePr>
        <xdr:cNvPr id="4" name="Chart 3">
          <a:extLst>
            <a:ext uri="{FF2B5EF4-FFF2-40B4-BE49-F238E27FC236}">
              <a16:creationId xmlns:a16="http://schemas.microsoft.com/office/drawing/2014/main" id="{EE63ABF0-53DA-3F70-0C76-28BBB4FF96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79</xdr:row>
      <xdr:rowOff>3810</xdr:rowOff>
    </xdr:from>
    <xdr:to>
      <xdr:col>15</xdr:col>
      <xdr:colOff>281127</xdr:colOff>
      <xdr:row>100</xdr:row>
      <xdr:rowOff>0</xdr:rowOff>
    </xdr:to>
    <xdr:graphicFrame macro="">
      <xdr:nvGraphicFramePr>
        <xdr:cNvPr id="6" name="Chart 5">
          <a:extLst>
            <a:ext uri="{FF2B5EF4-FFF2-40B4-BE49-F238E27FC236}">
              <a16:creationId xmlns:a16="http://schemas.microsoft.com/office/drawing/2014/main" id="{5F425E5E-2F9C-45CD-9524-7083EF3A65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122</xdr:row>
      <xdr:rowOff>13447</xdr:rowOff>
    </xdr:from>
    <xdr:to>
      <xdr:col>8</xdr:col>
      <xdr:colOff>207146</xdr:colOff>
      <xdr:row>140</xdr:row>
      <xdr:rowOff>7856</xdr:rowOff>
    </xdr:to>
    <xdr:graphicFrame macro="">
      <xdr:nvGraphicFramePr>
        <xdr:cNvPr id="7" name="Chart 6">
          <a:extLst>
            <a:ext uri="{FF2B5EF4-FFF2-40B4-BE49-F238E27FC236}">
              <a16:creationId xmlns:a16="http://schemas.microsoft.com/office/drawing/2014/main" id="{F37CBA52-EA12-583E-AD2C-4E534F5E3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157</xdr:row>
      <xdr:rowOff>15537</xdr:rowOff>
    </xdr:from>
    <xdr:to>
      <xdr:col>7</xdr:col>
      <xdr:colOff>125767</xdr:colOff>
      <xdr:row>172</xdr:row>
      <xdr:rowOff>88778</xdr:rowOff>
    </xdr:to>
    <xdr:graphicFrame macro="">
      <xdr:nvGraphicFramePr>
        <xdr:cNvPr id="8" name="Chart 7">
          <a:extLst>
            <a:ext uri="{FF2B5EF4-FFF2-40B4-BE49-F238E27FC236}">
              <a16:creationId xmlns:a16="http://schemas.microsoft.com/office/drawing/2014/main" id="{1EC7189D-777F-9243-BF7C-6E610A2398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544285</xdr:colOff>
      <xdr:row>0</xdr:row>
      <xdr:rowOff>12806</xdr:rowOff>
    </xdr:from>
    <xdr:to>
      <xdr:col>13</xdr:col>
      <xdr:colOff>602173</xdr:colOff>
      <xdr:row>7</xdr:row>
      <xdr:rowOff>153679</xdr:rowOff>
    </xdr:to>
    <mc:AlternateContent xmlns:mc="http://schemas.openxmlformats.org/markup-compatibility/2006">
      <mc:Choice xmlns:a14="http://schemas.microsoft.com/office/drawing/2010/main" Requires="a14">
        <xdr:graphicFrame macro="">
          <xdr:nvGraphicFramePr>
            <xdr:cNvPr id="6" name="Program Name 1">
              <a:extLst>
                <a:ext uri="{FF2B5EF4-FFF2-40B4-BE49-F238E27FC236}">
                  <a16:creationId xmlns:a16="http://schemas.microsoft.com/office/drawing/2014/main" id="{9786C137-8022-A935-EE84-507A98526243}"/>
                </a:ext>
              </a:extLst>
            </xdr:cNvPr>
            <xdr:cNvGraphicFramePr/>
          </xdr:nvGraphicFramePr>
          <xdr:xfrm>
            <a:off x="0" y="0"/>
            <a:ext cx="0" cy="0"/>
          </xdr:xfrm>
          <a:graphic>
            <a:graphicData uri="http://schemas.microsoft.com/office/drawing/2010/slicer">
              <sle:slicer xmlns:sle="http://schemas.microsoft.com/office/drawing/2010/slicer" name="Program Name 1"/>
            </a:graphicData>
          </a:graphic>
        </xdr:graphicFrame>
      </mc:Choice>
      <mc:Fallback>
        <xdr:sp macro="" textlink="">
          <xdr:nvSpPr>
            <xdr:cNvPr id="0" name=""/>
            <xdr:cNvSpPr>
              <a:spLocks noTextEdit="1"/>
            </xdr:cNvSpPr>
          </xdr:nvSpPr>
          <xdr:spPr>
            <a:xfrm>
              <a:off x="7016695" y="12806"/>
              <a:ext cx="2481598" cy="130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32010</xdr:rowOff>
    </xdr:from>
    <xdr:to>
      <xdr:col>7</xdr:col>
      <xdr:colOff>12807</xdr:colOff>
      <xdr:row>20</xdr:row>
      <xdr:rowOff>1274</xdr:rowOff>
    </xdr:to>
    <xdr:graphicFrame macro="">
      <xdr:nvGraphicFramePr>
        <xdr:cNvPr id="2" name="Chart 1">
          <a:extLst>
            <a:ext uri="{FF2B5EF4-FFF2-40B4-BE49-F238E27FC236}">
              <a16:creationId xmlns:a16="http://schemas.microsoft.com/office/drawing/2014/main" id="{3FF04CE2-5E05-46DD-8EFE-CDAC4EA72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xdr:colOff>
      <xdr:row>7</xdr:row>
      <xdr:rowOff>32005</xdr:rowOff>
    </xdr:from>
    <xdr:to>
      <xdr:col>14</xdr:col>
      <xdr:colOff>12806</xdr:colOff>
      <xdr:row>19</xdr:row>
      <xdr:rowOff>166476</xdr:rowOff>
    </xdr:to>
    <xdr:graphicFrame macro="">
      <xdr:nvGraphicFramePr>
        <xdr:cNvPr id="3" name="Chart 2">
          <a:extLst>
            <a:ext uri="{FF2B5EF4-FFF2-40B4-BE49-F238E27FC236}">
              <a16:creationId xmlns:a16="http://schemas.microsoft.com/office/drawing/2014/main" id="{C4B22545-A2CE-4911-971E-9D9301226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128069</xdr:rowOff>
    </xdr:from>
    <xdr:to>
      <xdr:col>6</xdr:col>
      <xdr:colOff>601916</xdr:colOff>
      <xdr:row>37</xdr:row>
      <xdr:rowOff>12806</xdr:rowOff>
    </xdr:to>
    <xdr:graphicFrame macro="">
      <xdr:nvGraphicFramePr>
        <xdr:cNvPr id="4" name="Chart 3">
          <a:extLst>
            <a:ext uri="{FF2B5EF4-FFF2-40B4-BE49-F238E27FC236}">
              <a16:creationId xmlns:a16="http://schemas.microsoft.com/office/drawing/2014/main" id="{C3AEEF5F-8237-4B5E-930C-660B53F12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595514</xdr:colOff>
      <xdr:row>19</xdr:row>
      <xdr:rowOff>121655</xdr:rowOff>
    </xdr:from>
    <xdr:to>
      <xdr:col>14</xdr:col>
      <xdr:colOff>1</xdr:colOff>
      <xdr:row>37</xdr:row>
      <xdr:rowOff>12798</xdr:rowOff>
    </xdr:to>
    <xdr:graphicFrame macro="">
      <xdr:nvGraphicFramePr>
        <xdr:cNvPr id="5" name="Chart 4">
          <a:extLst>
            <a:ext uri="{FF2B5EF4-FFF2-40B4-BE49-F238E27FC236}">
              <a16:creationId xmlns:a16="http://schemas.microsoft.com/office/drawing/2014/main" id="{98E9108A-6063-4F2C-9D85-46ABF954C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8</xdr:col>
      <xdr:colOff>444870</xdr:colOff>
      <xdr:row>15</xdr:row>
      <xdr:rowOff>84444</xdr:rowOff>
    </xdr:from>
    <xdr:ext cx="6258800" cy="3624704"/>
    <xdr:graphicFrame macro="">
      <xdr:nvGraphicFramePr>
        <xdr:cNvPr id="18" name="Chart 17" title="Chart">
          <a:extLst>
            <a:ext uri="{FF2B5EF4-FFF2-40B4-BE49-F238E27FC236}">
              <a16:creationId xmlns:a16="http://schemas.microsoft.com/office/drawing/2014/main" id="{72DB6825-2C87-49D1-B9CB-B378AC3C6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426095</xdr:colOff>
      <xdr:row>2</xdr:row>
      <xdr:rowOff>129298</xdr:rowOff>
    </xdr:from>
    <xdr:ext cx="3854472" cy="2333271"/>
    <xdr:graphicFrame macro="">
      <xdr:nvGraphicFramePr>
        <xdr:cNvPr id="20" name="Chart 3" title="Chart">
          <a:extLst>
            <a:ext uri="{FF2B5EF4-FFF2-40B4-BE49-F238E27FC236}">
              <a16:creationId xmlns:a16="http://schemas.microsoft.com/office/drawing/2014/main" id="{92209406-C31D-47C3-9700-5F4E756952A1}"/>
            </a:ext>
            <a:ext uri="{147F2762-F138-4A5C-976F-8EAC2B608ADB}">
              <a16:predDERef xmlns:a16="http://schemas.microsoft.com/office/drawing/2014/main" pred="{00000000-0008-0000-0300-000068877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0</xdr:colOff>
      <xdr:row>36</xdr:row>
      <xdr:rowOff>133049</xdr:rowOff>
    </xdr:from>
    <xdr:ext cx="5999544" cy="2563426"/>
    <xdr:graphicFrame macro="">
      <xdr:nvGraphicFramePr>
        <xdr:cNvPr id="21" name="Chart 4" title="Chart">
          <a:extLst>
            <a:ext uri="{FF2B5EF4-FFF2-40B4-BE49-F238E27FC236}">
              <a16:creationId xmlns:a16="http://schemas.microsoft.com/office/drawing/2014/main" id="{8255FAA7-FF16-4F95-948F-0725632212A5}"/>
            </a:ext>
            <a:ext uri="{147F2762-F138-4A5C-976F-8EAC2B608ADB}">
              <a16:predDERef xmlns:a16="http://schemas.microsoft.com/office/drawing/2014/main" pre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9</xdr:col>
      <xdr:colOff>443696</xdr:colOff>
      <xdr:row>36</xdr:row>
      <xdr:rowOff>133049</xdr:rowOff>
    </xdr:from>
    <xdr:ext cx="5719822" cy="2568954"/>
    <xdr:graphicFrame macro="">
      <xdr:nvGraphicFramePr>
        <xdr:cNvPr id="22" name="Chart 5" title="Chart">
          <a:extLst>
            <a:ext uri="{FF2B5EF4-FFF2-40B4-BE49-F238E27FC236}">
              <a16:creationId xmlns:a16="http://schemas.microsoft.com/office/drawing/2014/main" id="{A109ECA0-4B6C-4CF3-80F8-04E5057A2085}"/>
            </a:ext>
            <a:ext uri="{147F2762-F138-4A5C-976F-8EAC2B608ADB}">
              <a16:predDERef xmlns:a16="http://schemas.microsoft.com/office/drawing/2014/main" pre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57874</xdr:colOff>
      <xdr:row>2</xdr:row>
      <xdr:rowOff>147082</xdr:rowOff>
    </xdr:from>
    <xdr:ext cx="4041493" cy="2299641"/>
    <xdr:graphicFrame macro="">
      <xdr:nvGraphicFramePr>
        <xdr:cNvPr id="23" name="Chart 6" title="Chart">
          <a:extLst>
            <a:ext uri="{FF2B5EF4-FFF2-40B4-BE49-F238E27FC236}">
              <a16:creationId xmlns:a16="http://schemas.microsoft.com/office/drawing/2014/main" id="{6A0BD2A3-639B-4EB5-A296-D08804F2171A}"/>
            </a:ext>
            <a:ext uri="{147F2762-F138-4A5C-976F-8EAC2B608ADB}">
              <a16:predDERef xmlns:a16="http://schemas.microsoft.com/office/drawing/2014/main" pre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0</xdr:col>
      <xdr:colOff>0</xdr:colOff>
      <xdr:row>16</xdr:row>
      <xdr:rowOff>74578</xdr:rowOff>
    </xdr:from>
    <xdr:ext cx="5372582" cy="3477686"/>
    <xdr:graphicFrame macro="">
      <xdr:nvGraphicFramePr>
        <xdr:cNvPr id="25" name="Chart 8" title="Chart">
          <a:extLst>
            <a:ext uri="{FF2B5EF4-FFF2-40B4-BE49-F238E27FC236}">
              <a16:creationId xmlns:a16="http://schemas.microsoft.com/office/drawing/2014/main" id="{4107C84C-D9D5-4439-8BCA-C5DB55D1531C}"/>
            </a:ext>
            <a:ext uri="{147F2762-F138-4A5C-976F-8EAC2B608ADB}">
              <a16:predDERef xmlns:a16="http://schemas.microsoft.com/office/drawing/2014/main" pre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0</xdr:col>
      <xdr:colOff>0</xdr:colOff>
      <xdr:row>3</xdr:row>
      <xdr:rowOff>12383</xdr:rowOff>
    </xdr:from>
    <xdr:ext cx="3732835" cy="2290740"/>
    <xdr:graphicFrame macro="">
      <xdr:nvGraphicFramePr>
        <xdr:cNvPr id="26" name="Chart 9" title="Chart">
          <a:extLst>
            <a:ext uri="{FF2B5EF4-FFF2-40B4-BE49-F238E27FC236}">
              <a16:creationId xmlns:a16="http://schemas.microsoft.com/office/drawing/2014/main" id="{A9EAA131-0B9E-48C7-8146-41BC76AB8B67}"/>
            </a:ext>
            <a:ext uri="{147F2762-F138-4A5C-976F-8EAC2B608ADB}">
              <a16:predDERef xmlns:a16="http://schemas.microsoft.com/office/drawing/2014/main" pre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twoCellAnchor>
    <xdr:from>
      <xdr:col>18</xdr:col>
      <xdr:colOff>214044</xdr:colOff>
      <xdr:row>21</xdr:row>
      <xdr:rowOff>136989</xdr:rowOff>
    </xdr:from>
    <xdr:to>
      <xdr:col>18</xdr:col>
      <xdr:colOff>259763</xdr:colOff>
      <xdr:row>22</xdr:row>
      <xdr:rowOff>11472</xdr:rowOff>
    </xdr:to>
    <xdr:sp macro="" textlink="">
      <xdr:nvSpPr>
        <xdr:cNvPr id="27" name="Rectangle 26">
          <a:extLst>
            <a:ext uri="{FF2B5EF4-FFF2-40B4-BE49-F238E27FC236}">
              <a16:creationId xmlns:a16="http://schemas.microsoft.com/office/drawing/2014/main" id="{0CCE4278-D21F-1D95-8CED-D837B0BF2E26}"/>
            </a:ext>
          </a:extLst>
        </xdr:cNvPr>
        <xdr:cNvSpPr/>
      </xdr:nvSpPr>
      <xdr:spPr>
        <a:xfrm>
          <a:off x="11156022" y="3732944"/>
          <a:ext cx="45719" cy="457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Dashboard%20(1).xlsx" TargetMode="External"/><Relationship Id="rId1" Type="http://schemas.openxmlformats.org/officeDocument/2006/relationships/externalLinkPath" Target="Dashboard%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set"/>
      <sheetName val="Data Audit Information"/>
      <sheetName val="Issue Prioritization"/>
      <sheetName val="Trend Analysis"/>
      <sheetName val="Pivot Charts"/>
      <sheetName val="Dashboard"/>
      <sheetName val="SQL Query"/>
      <sheetName val="Pivot charts 2"/>
    </sheetNames>
    <sheetDataSet>
      <sheetData sheetId="0" refreshError="1"/>
      <sheetData sheetId="1" refreshError="1"/>
      <sheetData sheetId="2">
        <row r="1">
          <cell r="B1" t="str">
            <v>COUNTA of Ticket No</v>
          </cell>
        </row>
        <row r="2">
          <cell r="A2" t="str">
            <v>Looking For Career Guidance (NPS)</v>
          </cell>
          <cell r="B2">
            <v>21</v>
          </cell>
        </row>
        <row r="3">
          <cell r="A3" t="str">
            <v>Applied for jobs but no satisfactory outcome (NPS)</v>
          </cell>
          <cell r="B3">
            <v>19</v>
          </cell>
        </row>
        <row r="4">
          <cell r="A4" t="str">
            <v>Time Management Related Concerns (NPS)</v>
          </cell>
          <cell r="B4">
            <v>18</v>
          </cell>
        </row>
        <row r="5">
          <cell r="A5" t="str">
            <v>Projects &amp; Assignment Related Concern (NPS)</v>
          </cell>
          <cell r="B5">
            <v>18</v>
          </cell>
        </row>
        <row r="6">
          <cell r="A6" t="str">
            <v>False Promise By Sales Team (NPS)</v>
          </cell>
          <cell r="B6">
            <v>18</v>
          </cell>
        </row>
        <row r="7">
          <cell r="A7" t="str">
            <v>Mentor Support Related Concerns (NPS)</v>
          </cell>
          <cell r="B7">
            <v>17</v>
          </cell>
        </row>
        <row r="8">
          <cell r="A8" t="str">
            <v>Unhappy With The Class Timings (NPS)</v>
          </cell>
          <cell r="B8">
            <v>16</v>
          </cell>
        </row>
        <row r="9">
          <cell r="A9" t="str">
            <v>Frequent Resume Rejection (NPS)</v>
          </cell>
          <cell r="B9">
            <v>16</v>
          </cell>
        </row>
        <row r="10">
          <cell r="A10" t="str">
            <v>TA Support Related Concerns (NPS)</v>
          </cell>
          <cell r="B10">
            <v>16</v>
          </cell>
        </row>
        <row r="11">
          <cell r="A11" t="str">
            <v>Lecture Notes Related (NPS)</v>
          </cell>
          <cell r="B11">
            <v>14</v>
          </cell>
        </row>
        <row r="12">
          <cell r="A12" t="str">
            <v>Poor Class video quality (NPS)</v>
          </cell>
          <cell r="B12">
            <v>14</v>
          </cell>
        </row>
        <row r="13">
          <cell r="A13" t="str">
            <v>Not eligible for placements (NPS)</v>
          </cell>
          <cell r="B13">
            <v>14</v>
          </cell>
        </row>
        <row r="14">
          <cell r="A14" t="str">
            <v>Instructor Related Feedback (NPS)</v>
          </cell>
          <cell r="B14">
            <v>14</v>
          </cell>
        </row>
        <row r="15">
          <cell r="A15" t="str">
            <v>Unhappy With Course Curriculum (NPS)</v>
          </cell>
          <cell r="B15">
            <v>10</v>
          </cell>
        </row>
        <row r="16">
          <cell r="A16" t="str">
            <v>Grand Total</v>
          </cell>
          <cell r="B16">
            <v>225</v>
          </cell>
        </row>
        <row r="29">
          <cell r="C29" t="str">
            <v>AVERAGE of Resolution Time</v>
          </cell>
        </row>
        <row r="30">
          <cell r="B30" t="str">
            <v>Instructor Related Feedback (NPS)</v>
          </cell>
          <cell r="C30">
            <v>7.8888888888888893</v>
          </cell>
        </row>
        <row r="31">
          <cell r="B31" t="str">
            <v>Mentor Support Related Concerns (NPS)</v>
          </cell>
          <cell r="C31">
            <v>7.7272727272727275</v>
          </cell>
        </row>
        <row r="32">
          <cell r="B32" t="str">
            <v>Looking For Career Guidance (NPS)</v>
          </cell>
          <cell r="C32">
            <v>7.5</v>
          </cell>
        </row>
        <row r="33">
          <cell r="B33" t="str">
            <v>Time Management Related Concerns (NPS)</v>
          </cell>
          <cell r="C33">
            <v>7.4615384615384617</v>
          </cell>
        </row>
        <row r="34">
          <cell r="B34" t="str">
            <v>Frequent Resume Rejection (NPS)</v>
          </cell>
          <cell r="C34">
            <v>7.3</v>
          </cell>
        </row>
        <row r="35">
          <cell r="B35" t="str">
            <v>False Promise By Sales Team (NPS)</v>
          </cell>
          <cell r="C35">
            <v>7.125</v>
          </cell>
        </row>
        <row r="36">
          <cell r="B36" t="str">
            <v>Projects &amp; Assignment Related Concern (NPS)</v>
          </cell>
          <cell r="C36">
            <v>7</v>
          </cell>
        </row>
        <row r="37">
          <cell r="B37" t="str">
            <v>Not eligible for placements (NPS)</v>
          </cell>
          <cell r="C37">
            <v>6.8888888888888893</v>
          </cell>
        </row>
        <row r="38">
          <cell r="B38" t="str">
            <v>TA Support Related Concerns (NPS)</v>
          </cell>
          <cell r="C38">
            <v>6.666666666666667</v>
          </cell>
        </row>
        <row r="39">
          <cell r="B39" t="str">
            <v>Unhappy With The Class Timings (NPS)</v>
          </cell>
          <cell r="C39">
            <v>6.2727272727272725</v>
          </cell>
        </row>
        <row r="40">
          <cell r="B40" t="str">
            <v>Applied for jobs but no satisfactory outcome (NPS)</v>
          </cell>
          <cell r="C40">
            <v>6.2142857142857144</v>
          </cell>
        </row>
        <row r="41">
          <cell r="B41" t="str">
            <v>Poor Class video quality (NPS)</v>
          </cell>
          <cell r="C41">
            <v>6.166666666666667</v>
          </cell>
        </row>
        <row r="42">
          <cell r="B42" t="str">
            <v>Unhappy With Course Curriculum (NPS)</v>
          </cell>
          <cell r="C42">
            <v>5.5</v>
          </cell>
        </row>
        <row r="43">
          <cell r="B43" t="str">
            <v>Lecture Notes Related (NPS)</v>
          </cell>
          <cell r="C43">
            <v>5.2727272727272725</v>
          </cell>
        </row>
      </sheetData>
      <sheetData sheetId="3">
        <row r="5">
          <cell r="C5" t="str">
            <v>COUNTA of Ticket No</v>
          </cell>
          <cell r="F5" t="str">
            <v>COUNTA of Ticket No</v>
          </cell>
          <cell r="G5" t="str">
            <v>Issue 2 - NPS</v>
          </cell>
        </row>
        <row r="6">
          <cell r="B6">
            <v>45870</v>
          </cell>
          <cell r="C6">
            <v>5</v>
          </cell>
          <cell r="F6" t="str">
            <v>Program Name</v>
          </cell>
          <cell r="G6" t="str">
            <v>Applied for jobs but no satisfactory outcome (NPS)</v>
          </cell>
        </row>
        <row r="7">
          <cell r="B7">
            <v>45871</v>
          </cell>
          <cell r="C7">
            <v>4</v>
          </cell>
          <cell r="F7" t="str">
            <v>Academy</v>
          </cell>
          <cell r="G7">
            <v>6</v>
          </cell>
        </row>
        <row r="8">
          <cell r="B8">
            <v>45872</v>
          </cell>
          <cell r="C8">
            <v>6</v>
          </cell>
          <cell r="F8" t="str">
            <v>AIML</v>
          </cell>
          <cell r="G8">
            <v>8</v>
          </cell>
        </row>
        <row r="9">
          <cell r="B9">
            <v>45873</v>
          </cell>
          <cell r="C9">
            <v>5</v>
          </cell>
          <cell r="F9" t="str">
            <v>DevOps</v>
          </cell>
          <cell r="G9">
            <v>2</v>
          </cell>
        </row>
        <row r="10">
          <cell r="B10">
            <v>45874</v>
          </cell>
          <cell r="C10">
            <v>6</v>
          </cell>
          <cell r="F10" t="str">
            <v>DSML</v>
          </cell>
          <cell r="G10">
            <v>3</v>
          </cell>
        </row>
        <row r="11">
          <cell r="B11">
            <v>45875</v>
          </cell>
          <cell r="C11">
            <v>3</v>
          </cell>
        </row>
        <row r="12">
          <cell r="B12">
            <v>45876</v>
          </cell>
          <cell r="C12">
            <v>2</v>
          </cell>
        </row>
        <row r="13">
          <cell r="B13">
            <v>45877</v>
          </cell>
          <cell r="C13">
            <v>2</v>
          </cell>
        </row>
        <row r="14">
          <cell r="B14">
            <v>45878</v>
          </cell>
          <cell r="C14">
            <v>10</v>
          </cell>
        </row>
        <row r="15">
          <cell r="B15">
            <v>45879</v>
          </cell>
          <cell r="C15">
            <v>4</v>
          </cell>
        </row>
        <row r="16">
          <cell r="B16">
            <v>45880</v>
          </cell>
          <cell r="C16">
            <v>3</v>
          </cell>
          <cell r="G16" t="str">
            <v>AVERAGE of Resolution Time</v>
          </cell>
          <cell r="J16" t="str">
            <v>COUNTA of Ticket No</v>
          </cell>
        </row>
        <row r="17">
          <cell r="B17">
            <v>45881</v>
          </cell>
          <cell r="C17">
            <v>3</v>
          </cell>
          <cell r="F17" t="str">
            <v>Amit Patel</v>
          </cell>
          <cell r="G17">
            <v>5.8</v>
          </cell>
          <cell r="I17" t="str">
            <v>Awaiting Action - Learner</v>
          </cell>
          <cell r="J17">
            <v>20</v>
          </cell>
        </row>
        <row r="18">
          <cell r="B18">
            <v>45882</v>
          </cell>
          <cell r="C18">
            <v>5</v>
          </cell>
          <cell r="F18" t="str">
            <v>Carlos Martinez</v>
          </cell>
          <cell r="G18">
            <v>6.7692307692307692</v>
          </cell>
          <cell r="I18" t="str">
            <v>Awaiting Action - Scaler</v>
          </cell>
          <cell r="J18">
            <v>16</v>
          </cell>
        </row>
        <row r="19">
          <cell r="B19">
            <v>45883</v>
          </cell>
          <cell r="C19">
            <v>3</v>
          </cell>
          <cell r="F19" t="str">
            <v>David Wilson</v>
          </cell>
          <cell r="G19">
            <v>5.9230769230769234</v>
          </cell>
          <cell r="I19" t="str">
            <v>In Progress</v>
          </cell>
          <cell r="J19">
            <v>29</v>
          </cell>
        </row>
        <row r="20">
          <cell r="B20">
            <v>45884</v>
          </cell>
          <cell r="C20">
            <v>4</v>
          </cell>
          <cell r="F20" t="str">
            <v>Jessica Kim</v>
          </cell>
          <cell r="G20">
            <v>6.612903225806452</v>
          </cell>
          <cell r="I20" t="str">
            <v>Solved</v>
          </cell>
          <cell r="J20">
            <v>160</v>
          </cell>
        </row>
        <row r="21">
          <cell r="B21">
            <v>45885</v>
          </cell>
          <cell r="C21">
            <v>3</v>
          </cell>
          <cell r="F21" t="str">
            <v>Lisa Rodriguez</v>
          </cell>
          <cell r="G21">
            <v>6.8235294117647056</v>
          </cell>
        </row>
        <row r="22">
          <cell r="B22">
            <v>45886</v>
          </cell>
          <cell r="C22">
            <v>3</v>
          </cell>
          <cell r="F22" t="str">
            <v>Mike Chen</v>
          </cell>
          <cell r="G22">
            <v>7.833333333333333</v>
          </cell>
        </row>
        <row r="23">
          <cell r="B23">
            <v>45887</v>
          </cell>
          <cell r="C23">
            <v>4</v>
          </cell>
          <cell r="F23" t="str">
            <v>Priya Sharma</v>
          </cell>
          <cell r="G23">
            <v>4.8666666666666663</v>
          </cell>
        </row>
        <row r="24">
          <cell r="B24">
            <v>45888</v>
          </cell>
          <cell r="C24">
            <v>4</v>
          </cell>
          <cell r="F24" t="str">
            <v>Rohit Gupta</v>
          </cell>
          <cell r="G24">
            <v>6</v>
          </cell>
        </row>
        <row r="25">
          <cell r="B25">
            <v>45889</v>
          </cell>
          <cell r="C25">
            <v>5</v>
          </cell>
          <cell r="F25" t="str">
            <v>Sarah Johnson</v>
          </cell>
          <cell r="G25">
            <v>9.2727272727272734</v>
          </cell>
        </row>
        <row r="26">
          <cell r="B26">
            <v>45890</v>
          </cell>
          <cell r="C26">
            <v>6</v>
          </cell>
          <cell r="F26" t="str">
            <v>Sneha Reddy</v>
          </cell>
          <cell r="G26">
            <v>8.9090909090909083</v>
          </cell>
        </row>
        <row r="27">
          <cell r="B27">
            <v>45891</v>
          </cell>
          <cell r="C27">
            <v>5</v>
          </cell>
        </row>
        <row r="28">
          <cell r="B28">
            <v>45892</v>
          </cell>
          <cell r="C28">
            <v>6</v>
          </cell>
        </row>
        <row r="29">
          <cell r="B29">
            <v>45893</v>
          </cell>
          <cell r="C29">
            <v>5</v>
          </cell>
        </row>
        <row r="30">
          <cell r="B30">
            <v>45894</v>
          </cell>
          <cell r="C30">
            <v>2</v>
          </cell>
        </row>
        <row r="31">
          <cell r="B31">
            <v>45895</v>
          </cell>
          <cell r="C31">
            <v>2</v>
          </cell>
          <cell r="G31" t="str">
            <v>COUNTA of Ticket No</v>
          </cell>
        </row>
        <row r="32">
          <cell r="B32">
            <v>45896</v>
          </cell>
          <cell r="C32">
            <v>7</v>
          </cell>
          <cell r="F32" t="str">
            <v>Academy</v>
          </cell>
          <cell r="G32">
            <v>63</v>
          </cell>
        </row>
        <row r="33">
          <cell r="B33">
            <v>45897</v>
          </cell>
          <cell r="C33">
            <v>4</v>
          </cell>
          <cell r="F33" t="str">
            <v>AIML</v>
          </cell>
          <cell r="G33">
            <v>47</v>
          </cell>
        </row>
        <row r="34">
          <cell r="B34">
            <v>45898</v>
          </cell>
          <cell r="C34">
            <v>4</v>
          </cell>
          <cell r="F34" t="str">
            <v>DevOps</v>
          </cell>
          <cell r="G34">
            <v>52</v>
          </cell>
        </row>
        <row r="35">
          <cell r="B35">
            <v>45899</v>
          </cell>
          <cell r="C35">
            <v>5</v>
          </cell>
          <cell r="F35" t="str">
            <v>DSML</v>
          </cell>
          <cell r="G35">
            <v>63</v>
          </cell>
        </row>
        <row r="36">
          <cell r="B36">
            <v>45900</v>
          </cell>
          <cell r="C36">
            <v>10</v>
          </cell>
        </row>
        <row r="37">
          <cell r="B37">
            <v>45901</v>
          </cell>
          <cell r="C37">
            <v>4</v>
          </cell>
        </row>
        <row r="38">
          <cell r="B38">
            <v>45902</v>
          </cell>
          <cell r="C38">
            <v>3</v>
          </cell>
        </row>
        <row r="39">
          <cell r="B39">
            <v>45903</v>
          </cell>
          <cell r="C39">
            <v>4</v>
          </cell>
        </row>
        <row r="40">
          <cell r="B40">
            <v>45904</v>
          </cell>
          <cell r="C40">
            <v>2</v>
          </cell>
        </row>
        <row r="41">
          <cell r="B41">
            <v>45905</v>
          </cell>
          <cell r="C41">
            <v>3</v>
          </cell>
          <cell r="G41" t="str">
            <v>Resolution Time</v>
          </cell>
        </row>
        <row r="42">
          <cell r="B42">
            <v>45907</v>
          </cell>
          <cell r="C42">
            <v>2</v>
          </cell>
          <cell r="F42" t="str">
            <v>Program Name</v>
          </cell>
          <cell r="G42">
            <v>1</v>
          </cell>
          <cell r="H42">
            <v>2</v>
          </cell>
          <cell r="I42">
            <v>3</v>
          </cell>
          <cell r="J42">
            <v>4</v>
          </cell>
          <cell r="K42">
            <v>5</v>
          </cell>
          <cell r="L42">
            <v>6</v>
          </cell>
          <cell r="M42">
            <v>7</v>
          </cell>
          <cell r="N42">
            <v>8</v>
          </cell>
          <cell r="O42">
            <v>9</v>
          </cell>
          <cell r="P42">
            <v>10</v>
          </cell>
          <cell r="Q42">
            <v>11</v>
          </cell>
          <cell r="R42">
            <v>12</v>
          </cell>
          <cell r="S42" t="str">
            <v>NA</v>
          </cell>
        </row>
        <row r="43">
          <cell r="B43">
            <v>45908</v>
          </cell>
          <cell r="C43">
            <v>4</v>
          </cell>
        </row>
        <row r="44">
          <cell r="B44">
            <v>45909</v>
          </cell>
          <cell r="C44">
            <v>2</v>
          </cell>
        </row>
        <row r="45">
          <cell r="B45">
            <v>45910</v>
          </cell>
          <cell r="C45">
            <v>4</v>
          </cell>
        </row>
        <row r="46">
          <cell r="B46">
            <v>45911</v>
          </cell>
          <cell r="C46">
            <v>2</v>
          </cell>
        </row>
        <row r="47">
          <cell r="B47">
            <v>45912</v>
          </cell>
          <cell r="C47">
            <v>7</v>
          </cell>
        </row>
        <row r="48">
          <cell r="B48">
            <v>45913</v>
          </cell>
          <cell r="C48">
            <v>7</v>
          </cell>
        </row>
        <row r="49">
          <cell r="B49">
            <v>45914</v>
          </cell>
          <cell r="C49">
            <v>7</v>
          </cell>
        </row>
        <row r="50">
          <cell r="B50">
            <v>45915</v>
          </cell>
          <cell r="C50">
            <v>5</v>
          </cell>
        </row>
        <row r="51">
          <cell r="B51">
            <v>45916</v>
          </cell>
          <cell r="C51">
            <v>3</v>
          </cell>
        </row>
        <row r="52">
          <cell r="B52">
            <v>45917</v>
          </cell>
          <cell r="C52">
            <v>5</v>
          </cell>
        </row>
        <row r="53">
          <cell r="B53">
            <v>45918</v>
          </cell>
          <cell r="C53">
            <v>3</v>
          </cell>
        </row>
        <row r="54">
          <cell r="B54">
            <v>45919</v>
          </cell>
          <cell r="C54">
            <v>6</v>
          </cell>
        </row>
        <row r="55">
          <cell r="B55">
            <v>45920</v>
          </cell>
          <cell r="C55">
            <v>6</v>
          </cell>
        </row>
        <row r="56">
          <cell r="B56">
            <v>45921</v>
          </cell>
          <cell r="C56">
            <v>6</v>
          </cell>
        </row>
      </sheetData>
      <sheetData sheetId="4" refreshError="1"/>
      <sheetData sheetId="5" refreshError="1"/>
      <sheetData sheetId="6" refreshError="1"/>
      <sheetData sheetId="7"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26.967010995373" createdVersion="8" refreshedVersion="8" minRefreshableVersion="3" recordCount="225" xr:uid="{589839F8-A52A-4CEC-AD3D-144197299CBB}">
  <cacheSource type="worksheet">
    <worksheetSource name="NPS_Data"/>
  </cacheSource>
  <cacheFields count="31">
    <cacheField name="Ticket No" numFmtId="0">
      <sharedItems/>
    </cacheField>
    <cacheField name="Created Date" numFmtId="0">
      <sharedItems/>
    </cacheField>
    <cacheField name="Created Time" numFmtId="0">
      <sharedItems/>
    </cacheField>
    <cacheField name="CreatedDateTime" numFmtId="164">
      <sharedItems containsSemiMixedTypes="0" containsNonDate="0" containsDate="1" containsString="0" minDate="2025-08-01T11:38:20" maxDate="2025-09-21T19:11:02"/>
    </cacheField>
    <cacheField name="Assigned To" numFmtId="0">
      <sharedItems containsBlank="1"/>
    </cacheField>
    <cacheField name="Resolved Date" numFmtId="0">
      <sharedItems containsBlank="1"/>
    </cacheField>
    <cacheField name="Resolved Time" numFmtId="0">
      <sharedItems containsBlank="1"/>
    </cacheField>
    <cacheField name="ResolvedDateTime" numFmtId="0">
      <sharedItems containsDate="1" containsMixedTypes="1" minDate="2025-08-03T16:23:43" maxDate="2025-10-02T17:50:01"/>
    </cacheField>
    <cacheField name="Landing Folder" numFmtId="0">
      <sharedItems/>
    </cacheField>
    <cacheField name="Disposition Folder Level 1" numFmtId="0">
      <sharedItems/>
    </cacheField>
    <cacheField name="Disposition Folder Level 2" numFmtId="0">
      <sharedItems/>
    </cacheField>
    <cacheField name="Phone" numFmtId="0">
      <sharedItems/>
    </cacheField>
    <cacheField name="Email" numFmtId="0">
      <sharedItems/>
    </cacheField>
    <cacheField name="Ticket All Remarks" numFmtId="0">
      <sharedItems longText="1"/>
    </cacheField>
    <cacheField name="Program Name" numFmtId="0">
      <sharedItems/>
    </cacheField>
    <cacheField name="Issue 2 - NPS" numFmtId="0">
      <sharedItems count="14">
        <s v="Projects &amp; Assignment Related Concern (NPS)"/>
        <s v="Time Management Related Concerns (NPS)"/>
        <s v="False Promise By Sales Team (NPS)"/>
        <s v="Looking For Career Guidance (NPS)"/>
        <s v="TA Support Related Concerns (NPS)"/>
        <s v="Not eligible for placements (NPS)"/>
        <s v="Instructor Related Feedback (NPS)"/>
        <s v="Unhappy With The Class Timings (NPS)"/>
        <s v="Applied for jobs but no satisfactory outcome (NPS)"/>
        <s v="Mentor Support Related Concerns (NPS)"/>
        <s v="Frequent Resume Rejection (NPS)"/>
        <s v="Lecture Notes Related (NPS)"/>
        <s v="Unhappy With Course Curriculum (NPS)"/>
        <s v="Poor Class video quality (NPS)"/>
      </sharedItems>
    </cacheField>
    <cacheField name="NPS Rating" numFmtId="0">
      <sharedItems containsSemiMixedTypes="0" containsString="0" containsNumber="1" containsInteger="1" minValue="1" maxValue="10"/>
    </cacheField>
    <cacheField name="Status" numFmtId="0">
      <sharedItems/>
    </cacheField>
    <cacheField name="Sub Status" numFmtId="0">
      <sharedItems/>
    </cacheField>
    <cacheField name="MissingFieldsFlag" numFmtId="0">
      <sharedItems/>
    </cacheField>
    <cacheField name="StatusLogicFlag" numFmtId="0">
      <sharedItems/>
    </cacheField>
    <cacheField name="ResolutionErrorFlag" numFmtId="0">
      <sharedItems/>
    </cacheField>
    <cacheField name="CleanRemark" numFmtId="0">
      <sharedItems longText="1"/>
    </cacheField>
    <cacheField name="RemarkHash" numFmtId="0">
      <sharedItems containsSemiMixedTypes="0" containsString="0" containsNumber="1" containsInteger="1" minValue="18009" maxValue="36436"/>
    </cacheField>
    <cacheField name="DuplicateTicketFlag" numFmtId="0">
      <sharedItems/>
    </cacheField>
    <cacheField name="DuplicateRemarksFlag" numFmtId="0">
      <sharedItems/>
    </cacheField>
    <cacheField name="ResolutionHours" numFmtId="2">
      <sharedItems containsMixedTypes="1" containsNumber="1" minValue="14.680833333462942" maxValue="293.80388888897141"/>
    </cacheField>
    <cacheField name="Week" numFmtId="0">
      <sharedItems/>
    </cacheField>
    <cacheField name="Month" numFmtId="0">
      <sharedItems/>
    </cacheField>
    <cacheField name="SLA_Breach" numFmtId="0">
      <sharedItems/>
    </cacheField>
    <cacheField name="Column1"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627691203706" backgroundQuery="1" createdVersion="8" refreshedVersion="8" minRefreshableVersion="3" recordCount="0" supportSubquery="1" supportAdvancedDrill="1" xr:uid="{10B44498-F5FC-449B-8F8E-8C2645B74ECA}">
  <cacheSource type="external" connectionId="1"/>
  <cacheFields count="4">
    <cacheField name="[NPS_Data].[Assigned To].[Assigned To]" caption="Assigned To" numFmtId="0" hierarchy="4" level="1">
      <sharedItems containsBlank="1" count="11">
        <m/>
        <s v="Amit Patel"/>
        <s v="Carlos Martinez"/>
        <s v="David Wilson"/>
        <s v="Jessica Kim"/>
        <s v="Lisa Rodriguez"/>
        <s v="Mike Chen"/>
        <s v="Priya Sharma"/>
        <s v="Rohit Gupta"/>
        <s v="Sarah Johnson"/>
        <s v="Sneha Reddy"/>
      </sharedItems>
    </cacheField>
    <cacheField name="[Measures].[Count of Ticket No]" caption="Count of Ticket No" numFmtId="0" hierarchy="36" level="32767"/>
    <cacheField name="[Measures].[Average of ResolutionHours]" caption="Average of ResolutionHours" numFmtId="0" hierarchy="38" level="32767"/>
    <cacheField name="[Measures].[Max of ResolutionHours]" caption="Max of ResolutionHours" numFmtId="0" hierarchy="39" level="32767"/>
  </cacheFields>
  <cacheHierarchies count="40">
    <cacheHierarchy uniqueName="[NPS_Data].[Ticket No]" caption="Ticket No" attribute="1" defaultMemberUniqueName="[NPS_Data].[Ticket No].[All]" allUniqueName="[NPS_Data].[Ticket No].[All]" dimensionUniqueName="[NPS_Data]" displayFolder="" count="0" memberValueDatatype="130" unbalanced="0"/>
    <cacheHierarchy uniqueName="[NPS_Data].[Created Date]" caption="Created Date" attribute="1" defaultMemberUniqueName="[NPS_Data].[Created Date].[All]" allUniqueName="[NPS_Data].[Created Date].[All]" dimensionUniqueName="[NPS_Data]" displayFolder="" count="0" memberValueDatatype="130" unbalanced="0"/>
    <cacheHierarchy uniqueName="[NPS_Data].[Created Time]" caption="Created Time" attribute="1" defaultMemberUniqueName="[NPS_Data].[Created Time].[All]" allUniqueName="[NPS_Data].[Created Time].[All]" dimensionUniqueName="[NPS_Data]" displayFolder="" count="0" memberValueDatatype="130" unbalanced="0"/>
    <cacheHierarchy uniqueName="[NPS_Data].[CreatedDateTime]" caption="CreatedDateTime" attribute="1" time="1" defaultMemberUniqueName="[NPS_Data].[CreatedDateTime].[All]" allUniqueName="[NPS_Data].[CreatedDateTime].[All]" dimensionUniqueName="[NPS_Data]" displayFolder="" count="0" memberValueDatatype="7" unbalanced="0"/>
    <cacheHierarchy uniqueName="[NPS_Data].[Assigned To]" caption="Assigned To" attribute="1" defaultMemberUniqueName="[NPS_Data].[Assigned To].[All]" allUniqueName="[NPS_Data].[Assigned To].[All]" dimensionUniqueName="[NPS_Data]" displayFolder="" count="2" memberValueDatatype="130" unbalanced="0">
      <fieldsUsage count="2">
        <fieldUsage x="-1"/>
        <fieldUsage x="0"/>
      </fieldsUsage>
    </cacheHierarchy>
    <cacheHierarchy uniqueName="[NPS_Data].[Resolved Date]" caption="Resolved Date" attribute="1" defaultMemberUniqueName="[NPS_Data].[Resolved Date].[All]" allUniqueName="[NPS_Data].[Resolved Date].[All]" dimensionUniqueName="[NPS_Data]" displayFolder="" count="0" memberValueDatatype="130" unbalanced="0"/>
    <cacheHierarchy uniqueName="[NPS_Data].[Resolved Time]" caption="Resolved Time" attribute="1" defaultMemberUniqueName="[NPS_Data].[Resolved Time].[All]" allUniqueName="[NPS_Data].[Resolved Time].[All]" dimensionUniqueName="[NPS_Data]" displayFolder="" count="0" memberValueDatatype="130" unbalanced="0"/>
    <cacheHierarchy uniqueName="[NPS_Data].[ResolvedDateTime]" caption="ResolvedDateTime" attribute="1" defaultMemberUniqueName="[NPS_Data].[ResolvedDateTime].[All]" allUniqueName="[NPS_Data].[ResolvedDateTime].[All]" dimensionUniqueName="[NPS_Data]" displayFolder="" count="0" memberValueDatatype="130" unbalanced="0"/>
    <cacheHierarchy uniqueName="[NPS_Data].[Landing Folder]" caption="Landing Folder" attribute="1" defaultMemberUniqueName="[NPS_Data].[Landing Folder].[All]" allUniqueName="[NPS_Data].[Landing Folder].[All]" dimensionUniqueName="[NPS_Data]" displayFolder="" count="0" memberValueDatatype="130" unbalanced="0"/>
    <cacheHierarchy uniqueName="[NPS_Data].[Disposition Folder Level 1]" caption="Disposition Folder Level 1" attribute="1" defaultMemberUniqueName="[NPS_Data].[Disposition Folder Level 1].[All]" allUniqueName="[NPS_Data].[Disposition Folder Level 1].[All]" dimensionUniqueName="[NPS_Data]" displayFolder="" count="0" memberValueDatatype="130" unbalanced="0"/>
    <cacheHierarchy uniqueName="[NPS_Data].[Disposition Folder Level 2]" caption="Disposition Folder Level 2" attribute="1" defaultMemberUniqueName="[NPS_Data].[Disposition Folder Level 2].[All]" allUniqueName="[NPS_Data].[Disposition Folder Level 2].[All]" dimensionUniqueName="[NPS_Data]" displayFolder="" count="0" memberValueDatatype="130" unbalanced="0"/>
    <cacheHierarchy uniqueName="[NPS_Data].[Phone]" caption="Phone" attribute="1" defaultMemberUniqueName="[NPS_Data].[Phone].[All]" allUniqueName="[NPS_Data].[Phone].[All]" dimensionUniqueName="[NPS_Data]" displayFolder="" count="0" memberValueDatatype="130" unbalanced="0"/>
    <cacheHierarchy uniqueName="[NPS_Data].[Email]" caption="Email" attribute="1" defaultMemberUniqueName="[NPS_Data].[Email].[All]" allUniqueName="[NPS_Data].[Email].[All]" dimensionUniqueName="[NPS_Data]" displayFolder="" count="0" memberValueDatatype="130" unbalanced="0"/>
    <cacheHierarchy uniqueName="[NPS_Data].[Ticket All Remarks]" caption="Ticket All Remarks" attribute="1" defaultMemberUniqueName="[NPS_Data].[Ticket All Remarks].[All]" allUniqueName="[NPS_Data].[Ticket All Remarks].[All]" dimensionUniqueName="[NPS_Data]" displayFolder="" count="0" memberValueDatatype="130" unbalanced="0"/>
    <cacheHierarchy uniqueName="[NPS_Data].[Program Name]" caption="Program Name" attribute="1" defaultMemberUniqueName="[NPS_Data].[Program Name].[All]" allUniqueName="[NPS_Data].[Program Name].[All]" dimensionUniqueName="[NPS_Data]" displayFolder="" count="0" memberValueDatatype="130" unbalanced="0"/>
    <cacheHierarchy uniqueName="[NPS_Data].[Issue 2 - NPS]" caption="Issue 2 - NPS" attribute="1" defaultMemberUniqueName="[NPS_Data].[Issue 2 - NPS].[All]" allUniqueName="[NPS_Data].[Issue 2 - NPS].[All]" dimensionUniqueName="[NPS_Data]" displayFolder="" count="0" memberValueDatatype="130" unbalanced="0"/>
    <cacheHierarchy uniqueName="[NPS_Data].[NPS Rating]" caption="NPS Rating" attribute="1" defaultMemberUniqueName="[NPS_Data].[NPS Rating].[All]" allUniqueName="[NPS_Data].[NPS Rating].[All]" dimensionUniqueName="[NPS_Data]" displayFolder="" count="0" memberValueDatatype="20" unbalanced="0"/>
    <cacheHierarchy uniqueName="[NPS_Data].[Status]" caption="Status" attribute="1" defaultMemberUniqueName="[NPS_Data].[Status].[All]" allUniqueName="[NPS_Data].[Status].[All]" dimensionUniqueName="[NPS_Data]" displayFolder="" count="0" memberValueDatatype="130" unbalanced="0"/>
    <cacheHierarchy uniqueName="[NPS_Data].[Sub Status]" caption="Sub Status" attribute="1" defaultMemberUniqueName="[NPS_Data].[Sub Status].[All]" allUniqueName="[NPS_Data].[Sub Status].[All]" dimensionUniqueName="[NPS_Data]" displayFolder="" count="0" memberValueDatatype="130" unbalanced="0"/>
    <cacheHierarchy uniqueName="[NPS_Data].[MissingFieldsFlag]" caption="MissingFieldsFlag" attribute="1" defaultMemberUniqueName="[NPS_Data].[MissingFieldsFlag].[All]" allUniqueName="[NPS_Data].[MissingFieldsFlag].[All]" dimensionUniqueName="[NPS_Data]" displayFolder="" count="0" memberValueDatatype="130" unbalanced="0"/>
    <cacheHierarchy uniqueName="[NPS_Data].[StatusLogicFlag]" caption="StatusLogicFlag" attribute="1" defaultMemberUniqueName="[NPS_Data].[StatusLogicFlag].[All]" allUniqueName="[NPS_Data].[StatusLogicFlag].[All]" dimensionUniqueName="[NPS_Data]" displayFolder="" count="0" memberValueDatatype="130" unbalanced="0"/>
    <cacheHierarchy uniqueName="[NPS_Data].[ResolutionErrorFlag]" caption="ResolutionErrorFlag" attribute="1" defaultMemberUniqueName="[NPS_Data].[ResolutionErrorFlag].[All]" allUniqueName="[NPS_Data].[ResolutionErrorFlag].[All]" dimensionUniqueName="[NPS_Data]" displayFolder="" count="0" memberValueDatatype="130" unbalanced="0"/>
    <cacheHierarchy uniqueName="[NPS_Data].[CleanRemark]" caption="CleanRemark" attribute="1" defaultMemberUniqueName="[NPS_Data].[CleanRemark].[All]" allUniqueName="[NPS_Data].[CleanRemark].[All]" dimensionUniqueName="[NPS_Data]" displayFolder="" count="0" memberValueDatatype="130" unbalanced="0"/>
    <cacheHierarchy uniqueName="[NPS_Data].[RemarkHash]" caption="RemarkHash" attribute="1" defaultMemberUniqueName="[NPS_Data].[RemarkHash].[All]" allUniqueName="[NPS_Data].[RemarkHash].[All]" dimensionUniqueName="[NPS_Data]" displayFolder="" count="0" memberValueDatatype="20" unbalanced="0"/>
    <cacheHierarchy uniqueName="[NPS_Data].[DuplicateTicketFlag]" caption="DuplicateTicketFlag" attribute="1" defaultMemberUniqueName="[NPS_Data].[DuplicateTicketFlag].[All]" allUniqueName="[NPS_Data].[DuplicateTicketFlag].[All]" dimensionUniqueName="[NPS_Data]" displayFolder="" count="0" memberValueDatatype="130" unbalanced="0"/>
    <cacheHierarchy uniqueName="[NPS_Data].[DuplicateRemarksFlag]" caption="DuplicateRemarksFlag" attribute="1" defaultMemberUniqueName="[NPS_Data].[DuplicateRemarksFlag].[All]" allUniqueName="[NPS_Data].[DuplicateRemarksFlag].[All]" dimensionUniqueName="[NPS_Data]" displayFolder="" count="0" memberValueDatatype="130" unbalanced="0"/>
    <cacheHierarchy uniqueName="[NPS_Data].[ResolutionHours]" caption="ResolutionHours" attribute="1" defaultMemberUniqueName="[NPS_Data].[ResolutionHours].[All]" allUniqueName="[NPS_Data].[ResolutionHours].[All]" dimensionUniqueName="[NPS_Data]" displayFolder="" count="0" memberValueDatatype="5" unbalanced="0"/>
    <cacheHierarchy uniqueName="[NPS_Data].[Week]" caption="Week" attribute="1" defaultMemberUniqueName="[NPS_Data].[Week].[All]" allUniqueName="[NPS_Data].[Week].[All]" dimensionUniqueName="[NPS_Data]" displayFolder="" count="0" memberValueDatatype="130" unbalanced="0"/>
    <cacheHierarchy uniqueName="[NPS_Data].[Month]" caption="Month" attribute="1" defaultMemberUniqueName="[NPS_Data].[Month].[All]" allUniqueName="[NPS_Data].[Month].[All]" dimensionUniqueName="[NPS_Data]" displayFolder="" count="0" memberValueDatatype="130" unbalanced="0"/>
    <cacheHierarchy uniqueName="[NPS_Data].[SLA_Breach]" caption="SLA_Breach" attribute="1" defaultMemberUniqueName="[NPS_Data].[SLA_Breach].[All]" allUniqueName="[NPS_Data].[SLA_Breach].[All]" dimensionUniqueName="[NPS_Data]" displayFolder="" count="0" memberValueDatatype="130" unbalanced="0"/>
    <cacheHierarchy uniqueName="[NPS_Data].[ResolvedFlag]" caption="ResolvedFlag" attribute="1" defaultMemberUniqueName="[NPS_Data].[ResolvedFlag].[All]" allUniqueName="[NPS_Data].[ResolvedFlag].[All]" dimensionUniqueName="[NPS_Data]" displayFolder="" count="0" memberValueDatatype="20" unbalanced="0"/>
    <cacheHierarchy uniqueName="[NPS_Data].[Weekday]" caption="Weekday" attribute="1" defaultMemberUniqueName="[NPS_Data].[Weekday].[All]" allUniqueName="[NPS_Data].[Weekday].[All]" dimensionUniqueName="[NPS_Data]" displayFolder="" count="0" memberValueDatatype="130" unbalanced="0"/>
    <cacheHierarchy uniqueName="[Measures].[__XL_Count NPS_Data]" caption="__XL_Count NPS_Data" measure="1" displayFolder="" measureGroup="NPS_Data" count="0" hidden="1"/>
    <cacheHierarchy uniqueName="[Measures].[__No measures defined]" caption="__No measures defined" measure="1" displayFolder="" count="0" hidden="1"/>
    <cacheHierarchy uniqueName="[Measures].[Sum of ResolutionHours]" caption="Sum of ResolutionHours" measure="1" displayFolder="" measureGroup="NPS_Data" count="0" hidden="1">
      <extLst>
        <ext xmlns:x15="http://schemas.microsoft.com/office/spreadsheetml/2010/11/main" uri="{B97F6D7D-B522-45F9-BDA1-12C45D357490}">
          <x15:cacheHierarchy aggregatedColumn="26"/>
        </ext>
      </extLst>
    </cacheHierarchy>
    <cacheHierarchy uniqueName="[Measures].[Sum of ResolvedFlag]" caption="Sum of ResolvedFlag" measure="1" displayFolder="" measureGroup="NPS_Data" count="0" hidden="1">
      <extLst>
        <ext xmlns:x15="http://schemas.microsoft.com/office/spreadsheetml/2010/11/main" uri="{B97F6D7D-B522-45F9-BDA1-12C45D357490}">
          <x15:cacheHierarchy aggregatedColumn="30"/>
        </ext>
      </extLst>
    </cacheHierarchy>
    <cacheHierarchy uniqueName="[Measures].[Count of Ticket No]" caption="Count of Ticket No" measure="1" displayFolder="" measureGroup="NPS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LA_Breach]" caption="Count of SLA_Breach" measure="1" displayFolder="" measureGroup="NPS_Data" count="0" hidden="1">
      <extLst>
        <ext xmlns:x15="http://schemas.microsoft.com/office/spreadsheetml/2010/11/main" uri="{B97F6D7D-B522-45F9-BDA1-12C45D357490}">
          <x15:cacheHierarchy aggregatedColumn="29"/>
        </ext>
      </extLst>
    </cacheHierarchy>
    <cacheHierarchy uniqueName="[Measures].[Average of ResolutionHours]" caption="Average of ResolutionHours" measure="1" displayFolder="" measureGroup="NPS_Data" count="0" oneField="1" hidden="1">
      <fieldsUsage count="1">
        <fieldUsage x="2"/>
      </fieldsUsage>
      <extLst>
        <ext xmlns:x15="http://schemas.microsoft.com/office/spreadsheetml/2010/11/main" uri="{B97F6D7D-B522-45F9-BDA1-12C45D357490}">
          <x15:cacheHierarchy aggregatedColumn="26"/>
        </ext>
      </extLst>
    </cacheHierarchy>
    <cacheHierarchy uniqueName="[Measures].[Max of ResolutionHours]" caption="Max of ResolutionHours" measure="1" displayFolder="" measureGroup="NPS_Data" count="0" oneField="1" hidden="1">
      <fieldsUsage count="1">
        <fieldUsage x="3"/>
      </fieldsUsage>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NPS_Data" uniqueName="[NPS_Data]" caption="NPS_Data"/>
  </dimensions>
  <measureGroups count="1">
    <measureGroup name="NPS_Data" caption="NP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627692361108" backgroundQuery="1" createdVersion="8" refreshedVersion="8" minRefreshableVersion="3" recordCount="0" supportSubquery="1" supportAdvancedDrill="1" xr:uid="{1E577EBF-A15E-4759-8C48-7F9BE7F0B9A4}">
  <cacheSource type="external" connectionId="1"/>
  <cacheFields count="3">
    <cacheField name="[NPS_Data].[Issue 2 - NPS].[Issue 2 - NPS]" caption="Issue 2 - NPS" numFmtId="0" hierarchy="15" level="1">
      <sharedItems count="14">
        <s v="Applied for jobs but no satisfactory outcome (NPS)"/>
        <s v="False Promise By Sales Team (NPS)"/>
        <s v="Frequent Resume Rejection (NPS)"/>
        <s v="Instructor Related Feedback (NPS)"/>
        <s v="Lecture Notes Related (NPS)"/>
        <s v="Looking For Career Guidance (NPS)"/>
        <s v="Mentor Support Related Concerns (NPS)"/>
        <s v="Not eligible for placements (NPS)"/>
        <s v="Poor Class video quality (NPS)"/>
        <s v="Projects &amp; Assignment Related Concern (NPS)"/>
        <s v="TA Support Related Concerns (NPS)"/>
        <s v="Time Management Related Concerns (NPS)"/>
        <s v="Unhappy With Course Curriculum (NPS)"/>
        <s v="Unhappy With The Class Timings (NPS)"/>
      </sharedItems>
    </cacheField>
    <cacheField name="[NPS_Data].[Program Name].[Program Name]" caption="Program Name" numFmtId="0" hierarchy="14" level="1">
      <sharedItems count="4">
        <s v="Academy"/>
        <s v="AIML"/>
        <s v="DevOps"/>
        <s v="DSML"/>
      </sharedItems>
    </cacheField>
    <cacheField name="[Measures].[Count of Ticket No]" caption="Count of Ticket No" numFmtId="0" hierarchy="36" level="32767"/>
  </cacheFields>
  <cacheHierarchies count="40">
    <cacheHierarchy uniqueName="[NPS_Data].[Ticket No]" caption="Ticket No" attribute="1" defaultMemberUniqueName="[NPS_Data].[Ticket No].[All]" allUniqueName="[NPS_Data].[Ticket No].[All]" dimensionUniqueName="[NPS_Data]" displayFolder="" count="0" memberValueDatatype="130" unbalanced="0"/>
    <cacheHierarchy uniqueName="[NPS_Data].[Created Date]" caption="Created Date" attribute="1" defaultMemberUniqueName="[NPS_Data].[Created Date].[All]" allUniqueName="[NPS_Data].[Created Date].[All]" dimensionUniqueName="[NPS_Data]" displayFolder="" count="0" memberValueDatatype="130" unbalanced="0"/>
    <cacheHierarchy uniqueName="[NPS_Data].[Created Time]" caption="Created Time" attribute="1" defaultMemberUniqueName="[NPS_Data].[Created Time].[All]" allUniqueName="[NPS_Data].[Created Time].[All]" dimensionUniqueName="[NPS_Data]" displayFolder="" count="0" memberValueDatatype="130" unbalanced="0"/>
    <cacheHierarchy uniqueName="[NPS_Data].[CreatedDateTime]" caption="CreatedDateTime" attribute="1" time="1" defaultMemberUniqueName="[NPS_Data].[CreatedDateTime].[All]" allUniqueName="[NPS_Data].[CreatedDateTime].[All]" dimensionUniqueName="[NPS_Data]" displayFolder="" count="0" memberValueDatatype="7" unbalanced="0"/>
    <cacheHierarchy uniqueName="[NPS_Data].[Assigned To]" caption="Assigned To" attribute="1" defaultMemberUniqueName="[NPS_Data].[Assigned To].[All]" allUniqueName="[NPS_Data].[Assigned To].[All]" dimensionUniqueName="[NPS_Data]" displayFolder="" count="0" memberValueDatatype="130" unbalanced="0"/>
    <cacheHierarchy uniqueName="[NPS_Data].[Resolved Date]" caption="Resolved Date" attribute="1" defaultMemberUniqueName="[NPS_Data].[Resolved Date].[All]" allUniqueName="[NPS_Data].[Resolved Date].[All]" dimensionUniqueName="[NPS_Data]" displayFolder="" count="0" memberValueDatatype="130" unbalanced="0"/>
    <cacheHierarchy uniqueName="[NPS_Data].[Resolved Time]" caption="Resolved Time" attribute="1" defaultMemberUniqueName="[NPS_Data].[Resolved Time].[All]" allUniqueName="[NPS_Data].[Resolved Time].[All]" dimensionUniqueName="[NPS_Data]" displayFolder="" count="0" memberValueDatatype="130" unbalanced="0"/>
    <cacheHierarchy uniqueName="[NPS_Data].[ResolvedDateTime]" caption="ResolvedDateTime" attribute="1" defaultMemberUniqueName="[NPS_Data].[ResolvedDateTime].[All]" allUniqueName="[NPS_Data].[ResolvedDateTime].[All]" dimensionUniqueName="[NPS_Data]" displayFolder="" count="0" memberValueDatatype="130" unbalanced="0"/>
    <cacheHierarchy uniqueName="[NPS_Data].[Landing Folder]" caption="Landing Folder" attribute="1" defaultMemberUniqueName="[NPS_Data].[Landing Folder].[All]" allUniqueName="[NPS_Data].[Landing Folder].[All]" dimensionUniqueName="[NPS_Data]" displayFolder="" count="0" memberValueDatatype="130" unbalanced="0"/>
    <cacheHierarchy uniqueName="[NPS_Data].[Disposition Folder Level 1]" caption="Disposition Folder Level 1" attribute="1" defaultMemberUniqueName="[NPS_Data].[Disposition Folder Level 1].[All]" allUniqueName="[NPS_Data].[Disposition Folder Level 1].[All]" dimensionUniqueName="[NPS_Data]" displayFolder="" count="0" memberValueDatatype="130" unbalanced="0"/>
    <cacheHierarchy uniqueName="[NPS_Data].[Disposition Folder Level 2]" caption="Disposition Folder Level 2" attribute="1" defaultMemberUniqueName="[NPS_Data].[Disposition Folder Level 2].[All]" allUniqueName="[NPS_Data].[Disposition Folder Level 2].[All]" dimensionUniqueName="[NPS_Data]" displayFolder="" count="0" memberValueDatatype="130" unbalanced="0"/>
    <cacheHierarchy uniqueName="[NPS_Data].[Phone]" caption="Phone" attribute="1" defaultMemberUniqueName="[NPS_Data].[Phone].[All]" allUniqueName="[NPS_Data].[Phone].[All]" dimensionUniqueName="[NPS_Data]" displayFolder="" count="0" memberValueDatatype="130" unbalanced="0"/>
    <cacheHierarchy uniqueName="[NPS_Data].[Email]" caption="Email" attribute="1" defaultMemberUniqueName="[NPS_Data].[Email].[All]" allUniqueName="[NPS_Data].[Email].[All]" dimensionUniqueName="[NPS_Data]" displayFolder="" count="0" memberValueDatatype="130" unbalanced="0"/>
    <cacheHierarchy uniqueName="[NPS_Data].[Ticket All Remarks]" caption="Ticket All Remarks" attribute="1" defaultMemberUniqueName="[NPS_Data].[Ticket All Remarks].[All]" allUniqueName="[NPS_Data].[Ticket All Remarks].[All]" dimensionUniqueName="[NPS_Data]" displayFolder="" count="0" memberValueDatatype="130" unbalanced="0"/>
    <cacheHierarchy uniqueName="[NPS_Data].[Program Name]" caption="Program Name" attribute="1" defaultMemberUniqueName="[NPS_Data].[Program Name].[All]" allUniqueName="[NPS_Data].[Program Name].[All]" dimensionUniqueName="[NPS_Data]" displayFolder="" count="2" memberValueDatatype="130" unbalanced="0">
      <fieldsUsage count="2">
        <fieldUsage x="-1"/>
        <fieldUsage x="1"/>
      </fieldsUsage>
    </cacheHierarchy>
    <cacheHierarchy uniqueName="[NPS_Data].[Issue 2 - NPS]" caption="Issue 2 - NPS" attribute="1" defaultMemberUniqueName="[NPS_Data].[Issue 2 - NPS].[All]" allUniqueName="[NPS_Data].[Issue 2 - NPS].[All]" dimensionUniqueName="[NPS_Data]" displayFolder="" count="2" memberValueDatatype="130" unbalanced="0">
      <fieldsUsage count="2">
        <fieldUsage x="-1"/>
        <fieldUsage x="0"/>
      </fieldsUsage>
    </cacheHierarchy>
    <cacheHierarchy uniqueName="[NPS_Data].[NPS Rating]" caption="NPS Rating" attribute="1" defaultMemberUniqueName="[NPS_Data].[NPS Rating].[All]" allUniqueName="[NPS_Data].[NPS Rating].[All]" dimensionUniqueName="[NPS_Data]" displayFolder="" count="0" memberValueDatatype="20" unbalanced="0"/>
    <cacheHierarchy uniqueName="[NPS_Data].[Status]" caption="Status" attribute="1" defaultMemberUniqueName="[NPS_Data].[Status].[All]" allUniqueName="[NPS_Data].[Status].[All]" dimensionUniqueName="[NPS_Data]" displayFolder="" count="0" memberValueDatatype="130" unbalanced="0"/>
    <cacheHierarchy uniqueName="[NPS_Data].[Sub Status]" caption="Sub Status" attribute="1" defaultMemberUniqueName="[NPS_Data].[Sub Status].[All]" allUniqueName="[NPS_Data].[Sub Status].[All]" dimensionUniqueName="[NPS_Data]" displayFolder="" count="0" memberValueDatatype="130" unbalanced="0"/>
    <cacheHierarchy uniqueName="[NPS_Data].[MissingFieldsFlag]" caption="MissingFieldsFlag" attribute="1" defaultMemberUniqueName="[NPS_Data].[MissingFieldsFlag].[All]" allUniqueName="[NPS_Data].[MissingFieldsFlag].[All]" dimensionUniqueName="[NPS_Data]" displayFolder="" count="0" memberValueDatatype="130" unbalanced="0"/>
    <cacheHierarchy uniqueName="[NPS_Data].[StatusLogicFlag]" caption="StatusLogicFlag" attribute="1" defaultMemberUniqueName="[NPS_Data].[StatusLogicFlag].[All]" allUniqueName="[NPS_Data].[StatusLogicFlag].[All]" dimensionUniqueName="[NPS_Data]" displayFolder="" count="0" memberValueDatatype="130" unbalanced="0"/>
    <cacheHierarchy uniqueName="[NPS_Data].[ResolutionErrorFlag]" caption="ResolutionErrorFlag" attribute="1" defaultMemberUniqueName="[NPS_Data].[ResolutionErrorFlag].[All]" allUniqueName="[NPS_Data].[ResolutionErrorFlag].[All]" dimensionUniqueName="[NPS_Data]" displayFolder="" count="0" memberValueDatatype="130" unbalanced="0"/>
    <cacheHierarchy uniqueName="[NPS_Data].[CleanRemark]" caption="CleanRemark" attribute="1" defaultMemberUniqueName="[NPS_Data].[CleanRemark].[All]" allUniqueName="[NPS_Data].[CleanRemark].[All]" dimensionUniqueName="[NPS_Data]" displayFolder="" count="0" memberValueDatatype="130" unbalanced="0"/>
    <cacheHierarchy uniqueName="[NPS_Data].[RemarkHash]" caption="RemarkHash" attribute="1" defaultMemberUniqueName="[NPS_Data].[RemarkHash].[All]" allUniqueName="[NPS_Data].[RemarkHash].[All]" dimensionUniqueName="[NPS_Data]" displayFolder="" count="0" memberValueDatatype="20" unbalanced="0"/>
    <cacheHierarchy uniqueName="[NPS_Data].[DuplicateTicketFlag]" caption="DuplicateTicketFlag" attribute="1" defaultMemberUniqueName="[NPS_Data].[DuplicateTicketFlag].[All]" allUniqueName="[NPS_Data].[DuplicateTicketFlag].[All]" dimensionUniqueName="[NPS_Data]" displayFolder="" count="0" memberValueDatatype="130" unbalanced="0"/>
    <cacheHierarchy uniqueName="[NPS_Data].[DuplicateRemarksFlag]" caption="DuplicateRemarksFlag" attribute="1" defaultMemberUniqueName="[NPS_Data].[DuplicateRemarksFlag].[All]" allUniqueName="[NPS_Data].[DuplicateRemarksFlag].[All]" dimensionUniqueName="[NPS_Data]" displayFolder="" count="0" memberValueDatatype="130" unbalanced="0"/>
    <cacheHierarchy uniqueName="[NPS_Data].[ResolutionHours]" caption="ResolutionHours" attribute="1" defaultMemberUniqueName="[NPS_Data].[ResolutionHours].[All]" allUniqueName="[NPS_Data].[ResolutionHours].[All]" dimensionUniqueName="[NPS_Data]" displayFolder="" count="0" memberValueDatatype="5" unbalanced="0"/>
    <cacheHierarchy uniqueName="[NPS_Data].[Week]" caption="Week" attribute="1" defaultMemberUniqueName="[NPS_Data].[Week].[All]" allUniqueName="[NPS_Data].[Week].[All]" dimensionUniqueName="[NPS_Data]" displayFolder="" count="0" memberValueDatatype="130" unbalanced="0"/>
    <cacheHierarchy uniqueName="[NPS_Data].[Month]" caption="Month" attribute="1" defaultMemberUniqueName="[NPS_Data].[Month].[All]" allUniqueName="[NPS_Data].[Month].[All]" dimensionUniqueName="[NPS_Data]" displayFolder="" count="0" memberValueDatatype="130" unbalanced="0"/>
    <cacheHierarchy uniqueName="[NPS_Data].[SLA_Breach]" caption="SLA_Breach" attribute="1" defaultMemberUniqueName="[NPS_Data].[SLA_Breach].[All]" allUniqueName="[NPS_Data].[SLA_Breach].[All]" dimensionUniqueName="[NPS_Data]" displayFolder="" count="0" memberValueDatatype="130" unbalanced="0"/>
    <cacheHierarchy uniqueName="[NPS_Data].[ResolvedFlag]" caption="ResolvedFlag" attribute="1" defaultMemberUniqueName="[NPS_Data].[ResolvedFlag].[All]" allUniqueName="[NPS_Data].[ResolvedFlag].[All]" dimensionUniqueName="[NPS_Data]" displayFolder="" count="0" memberValueDatatype="20" unbalanced="0"/>
    <cacheHierarchy uniqueName="[NPS_Data].[Weekday]" caption="Weekday" attribute="1" defaultMemberUniqueName="[NPS_Data].[Weekday].[All]" allUniqueName="[NPS_Data].[Weekday].[All]" dimensionUniqueName="[NPS_Data]" displayFolder="" count="0" memberValueDatatype="130" unbalanced="0"/>
    <cacheHierarchy uniqueName="[Measures].[__XL_Count NPS_Data]" caption="__XL_Count NPS_Data" measure="1" displayFolder="" measureGroup="NPS_Data" count="0" hidden="1"/>
    <cacheHierarchy uniqueName="[Measures].[__No measures defined]" caption="__No measures defined" measure="1" displayFolder="" count="0" hidden="1"/>
    <cacheHierarchy uniqueName="[Measures].[Sum of ResolutionHours]" caption="Sum of ResolutionHours" measure="1" displayFolder="" measureGroup="NPS_Data" count="0" hidden="1">
      <extLst>
        <ext xmlns:x15="http://schemas.microsoft.com/office/spreadsheetml/2010/11/main" uri="{B97F6D7D-B522-45F9-BDA1-12C45D357490}">
          <x15:cacheHierarchy aggregatedColumn="26"/>
        </ext>
      </extLst>
    </cacheHierarchy>
    <cacheHierarchy uniqueName="[Measures].[Sum of ResolvedFlag]" caption="Sum of ResolvedFlag" measure="1" displayFolder="" measureGroup="NPS_Data" count="0" hidden="1">
      <extLst>
        <ext xmlns:x15="http://schemas.microsoft.com/office/spreadsheetml/2010/11/main" uri="{B97F6D7D-B522-45F9-BDA1-12C45D357490}">
          <x15:cacheHierarchy aggregatedColumn="30"/>
        </ext>
      </extLst>
    </cacheHierarchy>
    <cacheHierarchy uniqueName="[Measures].[Count of Ticket No]" caption="Count of Ticket No" measure="1" displayFolder="" measureGroup="NPS_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LA_Breach]" caption="Count of SLA_Breach" measure="1" displayFolder="" measureGroup="NPS_Data" count="0" hidden="1">
      <extLst>
        <ext xmlns:x15="http://schemas.microsoft.com/office/spreadsheetml/2010/11/main" uri="{B97F6D7D-B522-45F9-BDA1-12C45D357490}">
          <x15:cacheHierarchy aggregatedColumn="29"/>
        </ext>
      </extLst>
    </cacheHierarchy>
    <cacheHierarchy uniqueName="[Measures].[Average of ResolutionHours]" caption="Average of ResolutionHours" measure="1" displayFolder="" measureGroup="NPS_Data" count="0" hidden="1">
      <extLst>
        <ext xmlns:x15="http://schemas.microsoft.com/office/spreadsheetml/2010/11/main" uri="{B97F6D7D-B522-45F9-BDA1-12C45D357490}">
          <x15:cacheHierarchy aggregatedColumn="26"/>
        </ext>
      </extLst>
    </cacheHierarchy>
    <cacheHierarchy uniqueName="[Measures].[Max of ResolutionHours]" caption="Max of ResolutionHours" measure="1" displayFolder="" measureGroup="NPS_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NPS_Data" uniqueName="[NPS_Data]" caption="NPS_Data"/>
  </dimensions>
  <measureGroups count="1">
    <measureGroup name="NPS_Data" caption="NP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627693518516" backgroundQuery="1" createdVersion="8" refreshedVersion="8" minRefreshableVersion="3" recordCount="0" supportSubquery="1" supportAdvancedDrill="1" xr:uid="{A05011CA-14FB-4591-B515-CFA7273DC993}">
  <cacheSource type="external" connectionId="1"/>
  <cacheFields count="2">
    <cacheField name="[NPS_Data].[Month].[Month]" caption="Month" numFmtId="0" hierarchy="28" level="1">
      <sharedItems count="2">
        <s v="2025-08"/>
        <s v="2025-09"/>
      </sharedItems>
    </cacheField>
    <cacheField name="[Measures].[Count of Ticket No]" caption="Count of Ticket No" numFmtId="0" hierarchy="36" level="32767"/>
  </cacheFields>
  <cacheHierarchies count="40">
    <cacheHierarchy uniqueName="[NPS_Data].[Ticket No]" caption="Ticket No" attribute="1" defaultMemberUniqueName="[NPS_Data].[Ticket No].[All]" allUniqueName="[NPS_Data].[Ticket No].[All]" dimensionUniqueName="[NPS_Data]" displayFolder="" count="0" memberValueDatatype="130" unbalanced="0"/>
    <cacheHierarchy uniqueName="[NPS_Data].[Created Date]" caption="Created Date" attribute="1" defaultMemberUniqueName="[NPS_Data].[Created Date].[All]" allUniqueName="[NPS_Data].[Created Date].[All]" dimensionUniqueName="[NPS_Data]" displayFolder="" count="0" memberValueDatatype="130" unbalanced="0"/>
    <cacheHierarchy uniqueName="[NPS_Data].[Created Time]" caption="Created Time" attribute="1" defaultMemberUniqueName="[NPS_Data].[Created Time].[All]" allUniqueName="[NPS_Data].[Created Time].[All]" dimensionUniqueName="[NPS_Data]" displayFolder="" count="0" memberValueDatatype="130" unbalanced="0"/>
    <cacheHierarchy uniqueName="[NPS_Data].[CreatedDateTime]" caption="CreatedDateTime" attribute="1" time="1" defaultMemberUniqueName="[NPS_Data].[CreatedDateTime].[All]" allUniqueName="[NPS_Data].[CreatedDateTime].[All]" dimensionUniqueName="[NPS_Data]" displayFolder="" count="0" memberValueDatatype="7" unbalanced="0"/>
    <cacheHierarchy uniqueName="[NPS_Data].[Assigned To]" caption="Assigned To" attribute="1" defaultMemberUniqueName="[NPS_Data].[Assigned To].[All]" allUniqueName="[NPS_Data].[Assigned To].[All]" dimensionUniqueName="[NPS_Data]" displayFolder="" count="0" memberValueDatatype="130" unbalanced="0"/>
    <cacheHierarchy uniqueName="[NPS_Data].[Resolved Date]" caption="Resolved Date" attribute="1" defaultMemberUniqueName="[NPS_Data].[Resolved Date].[All]" allUniqueName="[NPS_Data].[Resolved Date].[All]" dimensionUniqueName="[NPS_Data]" displayFolder="" count="0" memberValueDatatype="130" unbalanced="0"/>
    <cacheHierarchy uniqueName="[NPS_Data].[Resolved Time]" caption="Resolved Time" attribute="1" defaultMemberUniqueName="[NPS_Data].[Resolved Time].[All]" allUniqueName="[NPS_Data].[Resolved Time].[All]" dimensionUniqueName="[NPS_Data]" displayFolder="" count="0" memberValueDatatype="130" unbalanced="0"/>
    <cacheHierarchy uniqueName="[NPS_Data].[ResolvedDateTime]" caption="ResolvedDateTime" attribute="1" defaultMemberUniqueName="[NPS_Data].[ResolvedDateTime].[All]" allUniqueName="[NPS_Data].[ResolvedDateTime].[All]" dimensionUniqueName="[NPS_Data]" displayFolder="" count="0" memberValueDatatype="130" unbalanced="0"/>
    <cacheHierarchy uniqueName="[NPS_Data].[Landing Folder]" caption="Landing Folder" attribute="1" defaultMemberUniqueName="[NPS_Data].[Landing Folder].[All]" allUniqueName="[NPS_Data].[Landing Folder].[All]" dimensionUniqueName="[NPS_Data]" displayFolder="" count="0" memberValueDatatype="130" unbalanced="0"/>
    <cacheHierarchy uniqueName="[NPS_Data].[Disposition Folder Level 1]" caption="Disposition Folder Level 1" attribute="1" defaultMemberUniqueName="[NPS_Data].[Disposition Folder Level 1].[All]" allUniqueName="[NPS_Data].[Disposition Folder Level 1].[All]" dimensionUniqueName="[NPS_Data]" displayFolder="" count="0" memberValueDatatype="130" unbalanced="0"/>
    <cacheHierarchy uniqueName="[NPS_Data].[Disposition Folder Level 2]" caption="Disposition Folder Level 2" attribute="1" defaultMemberUniqueName="[NPS_Data].[Disposition Folder Level 2].[All]" allUniqueName="[NPS_Data].[Disposition Folder Level 2].[All]" dimensionUniqueName="[NPS_Data]" displayFolder="" count="0" memberValueDatatype="130" unbalanced="0"/>
    <cacheHierarchy uniqueName="[NPS_Data].[Phone]" caption="Phone" attribute="1" defaultMemberUniqueName="[NPS_Data].[Phone].[All]" allUniqueName="[NPS_Data].[Phone].[All]" dimensionUniqueName="[NPS_Data]" displayFolder="" count="0" memberValueDatatype="130" unbalanced="0"/>
    <cacheHierarchy uniqueName="[NPS_Data].[Email]" caption="Email" attribute="1" defaultMemberUniqueName="[NPS_Data].[Email].[All]" allUniqueName="[NPS_Data].[Email].[All]" dimensionUniqueName="[NPS_Data]" displayFolder="" count="0" memberValueDatatype="130" unbalanced="0"/>
    <cacheHierarchy uniqueName="[NPS_Data].[Ticket All Remarks]" caption="Ticket All Remarks" attribute="1" defaultMemberUniqueName="[NPS_Data].[Ticket All Remarks].[All]" allUniqueName="[NPS_Data].[Ticket All Remarks].[All]" dimensionUniqueName="[NPS_Data]" displayFolder="" count="0" memberValueDatatype="130" unbalanced="0"/>
    <cacheHierarchy uniqueName="[NPS_Data].[Program Name]" caption="Program Name" attribute="1" defaultMemberUniqueName="[NPS_Data].[Program Name].[All]" allUniqueName="[NPS_Data].[Program Name].[All]" dimensionUniqueName="[NPS_Data]" displayFolder="" count="0" memberValueDatatype="130" unbalanced="0"/>
    <cacheHierarchy uniqueName="[NPS_Data].[Issue 2 - NPS]" caption="Issue 2 - NPS" attribute="1" defaultMemberUniqueName="[NPS_Data].[Issue 2 - NPS].[All]" allUniqueName="[NPS_Data].[Issue 2 - NPS].[All]" dimensionUniqueName="[NPS_Data]" displayFolder="" count="0" memberValueDatatype="130" unbalanced="0"/>
    <cacheHierarchy uniqueName="[NPS_Data].[NPS Rating]" caption="NPS Rating" attribute="1" defaultMemberUniqueName="[NPS_Data].[NPS Rating].[All]" allUniqueName="[NPS_Data].[NPS Rating].[All]" dimensionUniqueName="[NPS_Data]" displayFolder="" count="0" memberValueDatatype="20" unbalanced="0"/>
    <cacheHierarchy uniqueName="[NPS_Data].[Status]" caption="Status" attribute="1" defaultMemberUniqueName="[NPS_Data].[Status].[All]" allUniqueName="[NPS_Data].[Status].[All]" dimensionUniqueName="[NPS_Data]" displayFolder="" count="0" memberValueDatatype="130" unbalanced="0"/>
    <cacheHierarchy uniqueName="[NPS_Data].[Sub Status]" caption="Sub Status" attribute="1" defaultMemberUniqueName="[NPS_Data].[Sub Status].[All]" allUniqueName="[NPS_Data].[Sub Status].[All]" dimensionUniqueName="[NPS_Data]" displayFolder="" count="0" memberValueDatatype="130" unbalanced="0"/>
    <cacheHierarchy uniqueName="[NPS_Data].[MissingFieldsFlag]" caption="MissingFieldsFlag" attribute="1" defaultMemberUniqueName="[NPS_Data].[MissingFieldsFlag].[All]" allUniqueName="[NPS_Data].[MissingFieldsFlag].[All]" dimensionUniqueName="[NPS_Data]" displayFolder="" count="0" memberValueDatatype="130" unbalanced="0"/>
    <cacheHierarchy uniqueName="[NPS_Data].[StatusLogicFlag]" caption="StatusLogicFlag" attribute="1" defaultMemberUniqueName="[NPS_Data].[StatusLogicFlag].[All]" allUniqueName="[NPS_Data].[StatusLogicFlag].[All]" dimensionUniqueName="[NPS_Data]" displayFolder="" count="0" memberValueDatatype="130" unbalanced="0"/>
    <cacheHierarchy uniqueName="[NPS_Data].[ResolutionErrorFlag]" caption="ResolutionErrorFlag" attribute="1" defaultMemberUniqueName="[NPS_Data].[ResolutionErrorFlag].[All]" allUniqueName="[NPS_Data].[ResolutionErrorFlag].[All]" dimensionUniqueName="[NPS_Data]" displayFolder="" count="0" memberValueDatatype="130" unbalanced="0"/>
    <cacheHierarchy uniqueName="[NPS_Data].[CleanRemark]" caption="CleanRemark" attribute="1" defaultMemberUniqueName="[NPS_Data].[CleanRemark].[All]" allUniqueName="[NPS_Data].[CleanRemark].[All]" dimensionUniqueName="[NPS_Data]" displayFolder="" count="0" memberValueDatatype="130" unbalanced="0"/>
    <cacheHierarchy uniqueName="[NPS_Data].[RemarkHash]" caption="RemarkHash" attribute="1" defaultMemberUniqueName="[NPS_Data].[RemarkHash].[All]" allUniqueName="[NPS_Data].[RemarkHash].[All]" dimensionUniqueName="[NPS_Data]" displayFolder="" count="0" memberValueDatatype="20" unbalanced="0"/>
    <cacheHierarchy uniqueName="[NPS_Data].[DuplicateTicketFlag]" caption="DuplicateTicketFlag" attribute="1" defaultMemberUniqueName="[NPS_Data].[DuplicateTicketFlag].[All]" allUniqueName="[NPS_Data].[DuplicateTicketFlag].[All]" dimensionUniqueName="[NPS_Data]" displayFolder="" count="0" memberValueDatatype="130" unbalanced="0"/>
    <cacheHierarchy uniqueName="[NPS_Data].[DuplicateRemarksFlag]" caption="DuplicateRemarksFlag" attribute="1" defaultMemberUniqueName="[NPS_Data].[DuplicateRemarksFlag].[All]" allUniqueName="[NPS_Data].[DuplicateRemarksFlag].[All]" dimensionUniqueName="[NPS_Data]" displayFolder="" count="0" memberValueDatatype="130" unbalanced="0"/>
    <cacheHierarchy uniqueName="[NPS_Data].[ResolutionHours]" caption="ResolutionHours" attribute="1" defaultMemberUniqueName="[NPS_Data].[ResolutionHours].[All]" allUniqueName="[NPS_Data].[ResolutionHours].[All]" dimensionUniqueName="[NPS_Data]" displayFolder="" count="0" memberValueDatatype="5" unbalanced="0"/>
    <cacheHierarchy uniqueName="[NPS_Data].[Week]" caption="Week" attribute="1" defaultMemberUniqueName="[NPS_Data].[Week].[All]" allUniqueName="[NPS_Data].[Week].[All]" dimensionUniqueName="[NPS_Data]" displayFolder="" count="0" memberValueDatatype="130" unbalanced="0"/>
    <cacheHierarchy uniqueName="[NPS_Data].[Month]" caption="Month" attribute="1" defaultMemberUniqueName="[NPS_Data].[Month].[All]" allUniqueName="[NPS_Data].[Month].[All]" dimensionUniqueName="[NPS_Data]" displayFolder="" count="2" memberValueDatatype="130" unbalanced="0">
      <fieldsUsage count="2">
        <fieldUsage x="-1"/>
        <fieldUsage x="0"/>
      </fieldsUsage>
    </cacheHierarchy>
    <cacheHierarchy uniqueName="[NPS_Data].[SLA_Breach]" caption="SLA_Breach" attribute="1" defaultMemberUniqueName="[NPS_Data].[SLA_Breach].[All]" allUniqueName="[NPS_Data].[SLA_Breach].[All]" dimensionUniqueName="[NPS_Data]" displayFolder="" count="0" memberValueDatatype="130" unbalanced="0"/>
    <cacheHierarchy uniqueName="[NPS_Data].[ResolvedFlag]" caption="ResolvedFlag" attribute="1" defaultMemberUniqueName="[NPS_Data].[ResolvedFlag].[All]" allUniqueName="[NPS_Data].[ResolvedFlag].[All]" dimensionUniqueName="[NPS_Data]" displayFolder="" count="0" memberValueDatatype="20" unbalanced="0"/>
    <cacheHierarchy uniqueName="[NPS_Data].[Weekday]" caption="Weekday" attribute="1" defaultMemberUniqueName="[NPS_Data].[Weekday].[All]" allUniqueName="[NPS_Data].[Weekday].[All]" dimensionUniqueName="[NPS_Data]" displayFolder="" count="0" memberValueDatatype="130" unbalanced="0"/>
    <cacheHierarchy uniqueName="[Measures].[__XL_Count NPS_Data]" caption="__XL_Count NPS_Data" measure="1" displayFolder="" measureGroup="NPS_Data" count="0" hidden="1"/>
    <cacheHierarchy uniqueName="[Measures].[__No measures defined]" caption="__No measures defined" measure="1" displayFolder="" count="0" hidden="1"/>
    <cacheHierarchy uniqueName="[Measures].[Sum of ResolutionHours]" caption="Sum of ResolutionHours" measure="1" displayFolder="" measureGroup="NPS_Data" count="0" hidden="1">
      <extLst>
        <ext xmlns:x15="http://schemas.microsoft.com/office/spreadsheetml/2010/11/main" uri="{B97F6D7D-B522-45F9-BDA1-12C45D357490}">
          <x15:cacheHierarchy aggregatedColumn="26"/>
        </ext>
      </extLst>
    </cacheHierarchy>
    <cacheHierarchy uniqueName="[Measures].[Sum of ResolvedFlag]" caption="Sum of ResolvedFlag" measure="1" displayFolder="" measureGroup="NPS_Data" count="0" hidden="1">
      <extLst>
        <ext xmlns:x15="http://schemas.microsoft.com/office/spreadsheetml/2010/11/main" uri="{B97F6D7D-B522-45F9-BDA1-12C45D357490}">
          <x15:cacheHierarchy aggregatedColumn="30"/>
        </ext>
      </extLst>
    </cacheHierarchy>
    <cacheHierarchy uniqueName="[Measures].[Count of Ticket No]" caption="Count of Ticket No" measure="1" displayFolder="" measureGroup="NPS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LA_Breach]" caption="Count of SLA_Breach" measure="1" displayFolder="" measureGroup="NPS_Data" count="0" hidden="1">
      <extLst>
        <ext xmlns:x15="http://schemas.microsoft.com/office/spreadsheetml/2010/11/main" uri="{B97F6D7D-B522-45F9-BDA1-12C45D357490}">
          <x15:cacheHierarchy aggregatedColumn="29"/>
        </ext>
      </extLst>
    </cacheHierarchy>
    <cacheHierarchy uniqueName="[Measures].[Average of ResolutionHours]" caption="Average of ResolutionHours" measure="1" displayFolder="" measureGroup="NPS_Data" count="0" hidden="1">
      <extLst>
        <ext xmlns:x15="http://schemas.microsoft.com/office/spreadsheetml/2010/11/main" uri="{B97F6D7D-B522-45F9-BDA1-12C45D357490}">
          <x15:cacheHierarchy aggregatedColumn="26"/>
        </ext>
      </extLst>
    </cacheHierarchy>
    <cacheHierarchy uniqueName="[Measures].[Max of ResolutionHours]" caption="Max of ResolutionHours" measure="1" displayFolder="" measureGroup="NPS_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NPS_Data" uniqueName="[NPS_Data]" caption="NPS_Data"/>
  </dimensions>
  <measureGroups count="1">
    <measureGroup name="NPS_Data" caption="NP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627694675924" backgroundQuery="1" createdVersion="8" refreshedVersion="8" minRefreshableVersion="3" recordCount="0" supportSubquery="1" supportAdvancedDrill="1" xr:uid="{9B3C38EB-682B-4475-927B-BB667BEA5935}">
  <cacheSource type="external" connectionId="1"/>
  <cacheFields count="2">
    <cacheField name="[NPS_Data].[Week].[Week]" caption="Week" numFmtId="0" hierarchy="27" level="1">
      <sharedItems count="8">
        <s v="2025-31"/>
        <s v="2025-32"/>
        <s v="2025-33"/>
        <s v="2025-34"/>
        <s v="2025-35"/>
        <s v="2025-36"/>
        <s v="2025-37"/>
        <s v="2025-38"/>
      </sharedItems>
    </cacheField>
    <cacheField name="[Measures].[Count of Ticket No]" caption="Count of Ticket No" numFmtId="0" hierarchy="36" level="32767"/>
  </cacheFields>
  <cacheHierarchies count="40">
    <cacheHierarchy uniqueName="[NPS_Data].[Ticket No]" caption="Ticket No" attribute="1" defaultMemberUniqueName="[NPS_Data].[Ticket No].[All]" allUniqueName="[NPS_Data].[Ticket No].[All]" dimensionUniqueName="[NPS_Data]" displayFolder="" count="0" memberValueDatatype="130" unbalanced="0"/>
    <cacheHierarchy uniqueName="[NPS_Data].[Created Date]" caption="Created Date" attribute="1" defaultMemberUniqueName="[NPS_Data].[Created Date].[All]" allUniqueName="[NPS_Data].[Created Date].[All]" dimensionUniqueName="[NPS_Data]" displayFolder="" count="0" memberValueDatatype="130" unbalanced="0"/>
    <cacheHierarchy uniqueName="[NPS_Data].[Created Time]" caption="Created Time" attribute="1" defaultMemberUniqueName="[NPS_Data].[Created Time].[All]" allUniqueName="[NPS_Data].[Created Time].[All]" dimensionUniqueName="[NPS_Data]" displayFolder="" count="0" memberValueDatatype="130" unbalanced="0"/>
    <cacheHierarchy uniqueName="[NPS_Data].[CreatedDateTime]" caption="CreatedDateTime" attribute="1" time="1" defaultMemberUniqueName="[NPS_Data].[CreatedDateTime].[All]" allUniqueName="[NPS_Data].[CreatedDateTime].[All]" dimensionUniqueName="[NPS_Data]" displayFolder="" count="0" memberValueDatatype="7" unbalanced="0"/>
    <cacheHierarchy uniqueName="[NPS_Data].[Assigned To]" caption="Assigned To" attribute="1" defaultMemberUniqueName="[NPS_Data].[Assigned To].[All]" allUniqueName="[NPS_Data].[Assigned To].[All]" dimensionUniqueName="[NPS_Data]" displayFolder="" count="0" memberValueDatatype="130" unbalanced="0"/>
    <cacheHierarchy uniqueName="[NPS_Data].[Resolved Date]" caption="Resolved Date" attribute="1" defaultMemberUniqueName="[NPS_Data].[Resolved Date].[All]" allUniqueName="[NPS_Data].[Resolved Date].[All]" dimensionUniqueName="[NPS_Data]" displayFolder="" count="0" memberValueDatatype="130" unbalanced="0"/>
    <cacheHierarchy uniqueName="[NPS_Data].[Resolved Time]" caption="Resolved Time" attribute="1" defaultMemberUniqueName="[NPS_Data].[Resolved Time].[All]" allUniqueName="[NPS_Data].[Resolved Time].[All]" dimensionUniqueName="[NPS_Data]" displayFolder="" count="0" memberValueDatatype="130" unbalanced="0"/>
    <cacheHierarchy uniqueName="[NPS_Data].[ResolvedDateTime]" caption="ResolvedDateTime" attribute="1" defaultMemberUniqueName="[NPS_Data].[ResolvedDateTime].[All]" allUniqueName="[NPS_Data].[ResolvedDateTime].[All]" dimensionUniqueName="[NPS_Data]" displayFolder="" count="0" memberValueDatatype="130" unbalanced="0"/>
    <cacheHierarchy uniqueName="[NPS_Data].[Landing Folder]" caption="Landing Folder" attribute="1" defaultMemberUniqueName="[NPS_Data].[Landing Folder].[All]" allUniqueName="[NPS_Data].[Landing Folder].[All]" dimensionUniqueName="[NPS_Data]" displayFolder="" count="0" memberValueDatatype="130" unbalanced="0"/>
    <cacheHierarchy uniqueName="[NPS_Data].[Disposition Folder Level 1]" caption="Disposition Folder Level 1" attribute="1" defaultMemberUniqueName="[NPS_Data].[Disposition Folder Level 1].[All]" allUniqueName="[NPS_Data].[Disposition Folder Level 1].[All]" dimensionUniqueName="[NPS_Data]" displayFolder="" count="0" memberValueDatatype="130" unbalanced="0"/>
    <cacheHierarchy uniqueName="[NPS_Data].[Disposition Folder Level 2]" caption="Disposition Folder Level 2" attribute="1" defaultMemberUniqueName="[NPS_Data].[Disposition Folder Level 2].[All]" allUniqueName="[NPS_Data].[Disposition Folder Level 2].[All]" dimensionUniqueName="[NPS_Data]" displayFolder="" count="0" memberValueDatatype="130" unbalanced="0"/>
    <cacheHierarchy uniqueName="[NPS_Data].[Phone]" caption="Phone" attribute="1" defaultMemberUniqueName="[NPS_Data].[Phone].[All]" allUniqueName="[NPS_Data].[Phone].[All]" dimensionUniqueName="[NPS_Data]" displayFolder="" count="0" memberValueDatatype="130" unbalanced="0"/>
    <cacheHierarchy uniqueName="[NPS_Data].[Email]" caption="Email" attribute="1" defaultMemberUniqueName="[NPS_Data].[Email].[All]" allUniqueName="[NPS_Data].[Email].[All]" dimensionUniqueName="[NPS_Data]" displayFolder="" count="0" memberValueDatatype="130" unbalanced="0"/>
    <cacheHierarchy uniqueName="[NPS_Data].[Ticket All Remarks]" caption="Ticket All Remarks" attribute="1" defaultMemberUniqueName="[NPS_Data].[Ticket All Remarks].[All]" allUniqueName="[NPS_Data].[Ticket All Remarks].[All]" dimensionUniqueName="[NPS_Data]" displayFolder="" count="0" memberValueDatatype="130" unbalanced="0"/>
    <cacheHierarchy uniqueName="[NPS_Data].[Program Name]" caption="Program Name" attribute="1" defaultMemberUniqueName="[NPS_Data].[Program Name].[All]" allUniqueName="[NPS_Data].[Program Name].[All]" dimensionUniqueName="[NPS_Data]" displayFolder="" count="0" memberValueDatatype="130" unbalanced="0"/>
    <cacheHierarchy uniqueName="[NPS_Data].[Issue 2 - NPS]" caption="Issue 2 - NPS" attribute="1" defaultMemberUniqueName="[NPS_Data].[Issue 2 - NPS].[All]" allUniqueName="[NPS_Data].[Issue 2 - NPS].[All]" dimensionUniqueName="[NPS_Data]" displayFolder="" count="0" memberValueDatatype="130" unbalanced="0"/>
    <cacheHierarchy uniqueName="[NPS_Data].[NPS Rating]" caption="NPS Rating" attribute="1" defaultMemberUniqueName="[NPS_Data].[NPS Rating].[All]" allUniqueName="[NPS_Data].[NPS Rating].[All]" dimensionUniqueName="[NPS_Data]" displayFolder="" count="0" memberValueDatatype="20" unbalanced="0"/>
    <cacheHierarchy uniqueName="[NPS_Data].[Status]" caption="Status" attribute="1" defaultMemberUniqueName="[NPS_Data].[Status].[All]" allUniqueName="[NPS_Data].[Status].[All]" dimensionUniqueName="[NPS_Data]" displayFolder="" count="0" memberValueDatatype="130" unbalanced="0"/>
    <cacheHierarchy uniqueName="[NPS_Data].[Sub Status]" caption="Sub Status" attribute="1" defaultMemberUniqueName="[NPS_Data].[Sub Status].[All]" allUniqueName="[NPS_Data].[Sub Status].[All]" dimensionUniqueName="[NPS_Data]" displayFolder="" count="0" memberValueDatatype="130" unbalanced="0"/>
    <cacheHierarchy uniqueName="[NPS_Data].[MissingFieldsFlag]" caption="MissingFieldsFlag" attribute="1" defaultMemberUniqueName="[NPS_Data].[MissingFieldsFlag].[All]" allUniqueName="[NPS_Data].[MissingFieldsFlag].[All]" dimensionUniqueName="[NPS_Data]" displayFolder="" count="0" memberValueDatatype="130" unbalanced="0"/>
    <cacheHierarchy uniqueName="[NPS_Data].[StatusLogicFlag]" caption="StatusLogicFlag" attribute="1" defaultMemberUniqueName="[NPS_Data].[StatusLogicFlag].[All]" allUniqueName="[NPS_Data].[StatusLogicFlag].[All]" dimensionUniqueName="[NPS_Data]" displayFolder="" count="0" memberValueDatatype="130" unbalanced="0"/>
    <cacheHierarchy uniqueName="[NPS_Data].[ResolutionErrorFlag]" caption="ResolutionErrorFlag" attribute="1" defaultMemberUniqueName="[NPS_Data].[ResolutionErrorFlag].[All]" allUniqueName="[NPS_Data].[ResolutionErrorFlag].[All]" dimensionUniqueName="[NPS_Data]" displayFolder="" count="0" memberValueDatatype="130" unbalanced="0"/>
    <cacheHierarchy uniqueName="[NPS_Data].[CleanRemark]" caption="CleanRemark" attribute="1" defaultMemberUniqueName="[NPS_Data].[CleanRemark].[All]" allUniqueName="[NPS_Data].[CleanRemark].[All]" dimensionUniqueName="[NPS_Data]" displayFolder="" count="0" memberValueDatatype="130" unbalanced="0"/>
    <cacheHierarchy uniqueName="[NPS_Data].[RemarkHash]" caption="RemarkHash" attribute="1" defaultMemberUniqueName="[NPS_Data].[RemarkHash].[All]" allUniqueName="[NPS_Data].[RemarkHash].[All]" dimensionUniqueName="[NPS_Data]" displayFolder="" count="0" memberValueDatatype="20" unbalanced="0"/>
    <cacheHierarchy uniqueName="[NPS_Data].[DuplicateTicketFlag]" caption="DuplicateTicketFlag" attribute="1" defaultMemberUniqueName="[NPS_Data].[DuplicateTicketFlag].[All]" allUniqueName="[NPS_Data].[DuplicateTicketFlag].[All]" dimensionUniqueName="[NPS_Data]" displayFolder="" count="0" memberValueDatatype="130" unbalanced="0"/>
    <cacheHierarchy uniqueName="[NPS_Data].[DuplicateRemarksFlag]" caption="DuplicateRemarksFlag" attribute="1" defaultMemberUniqueName="[NPS_Data].[DuplicateRemarksFlag].[All]" allUniqueName="[NPS_Data].[DuplicateRemarksFlag].[All]" dimensionUniqueName="[NPS_Data]" displayFolder="" count="0" memberValueDatatype="130" unbalanced="0"/>
    <cacheHierarchy uniqueName="[NPS_Data].[ResolutionHours]" caption="ResolutionHours" attribute="1" defaultMemberUniqueName="[NPS_Data].[ResolutionHours].[All]" allUniqueName="[NPS_Data].[ResolutionHours].[All]" dimensionUniqueName="[NPS_Data]" displayFolder="" count="0" memberValueDatatype="5" unbalanced="0"/>
    <cacheHierarchy uniqueName="[NPS_Data].[Week]" caption="Week" attribute="1" defaultMemberUniqueName="[NPS_Data].[Week].[All]" allUniqueName="[NPS_Data].[Week].[All]" dimensionUniqueName="[NPS_Data]" displayFolder="" count="2" memberValueDatatype="130" unbalanced="0">
      <fieldsUsage count="2">
        <fieldUsage x="-1"/>
        <fieldUsage x="0"/>
      </fieldsUsage>
    </cacheHierarchy>
    <cacheHierarchy uniqueName="[NPS_Data].[Month]" caption="Month" attribute="1" defaultMemberUniqueName="[NPS_Data].[Month].[All]" allUniqueName="[NPS_Data].[Month].[All]" dimensionUniqueName="[NPS_Data]" displayFolder="" count="0" memberValueDatatype="130" unbalanced="0"/>
    <cacheHierarchy uniqueName="[NPS_Data].[SLA_Breach]" caption="SLA_Breach" attribute="1" defaultMemberUniqueName="[NPS_Data].[SLA_Breach].[All]" allUniqueName="[NPS_Data].[SLA_Breach].[All]" dimensionUniqueName="[NPS_Data]" displayFolder="" count="0" memberValueDatatype="130" unbalanced="0"/>
    <cacheHierarchy uniqueName="[NPS_Data].[ResolvedFlag]" caption="ResolvedFlag" attribute="1" defaultMemberUniqueName="[NPS_Data].[ResolvedFlag].[All]" allUniqueName="[NPS_Data].[ResolvedFlag].[All]" dimensionUniqueName="[NPS_Data]" displayFolder="" count="0" memberValueDatatype="20" unbalanced="0"/>
    <cacheHierarchy uniqueName="[NPS_Data].[Weekday]" caption="Weekday" attribute="1" defaultMemberUniqueName="[NPS_Data].[Weekday].[All]" allUniqueName="[NPS_Data].[Weekday].[All]" dimensionUniqueName="[NPS_Data]" displayFolder="" count="0" memberValueDatatype="130" unbalanced="0"/>
    <cacheHierarchy uniqueName="[Measures].[__XL_Count NPS_Data]" caption="__XL_Count NPS_Data" measure="1" displayFolder="" measureGroup="NPS_Data" count="0" hidden="1"/>
    <cacheHierarchy uniqueName="[Measures].[__No measures defined]" caption="__No measures defined" measure="1" displayFolder="" count="0" hidden="1"/>
    <cacheHierarchy uniqueName="[Measures].[Sum of ResolutionHours]" caption="Sum of ResolutionHours" measure="1" displayFolder="" measureGroup="NPS_Data" count="0" hidden="1">
      <extLst>
        <ext xmlns:x15="http://schemas.microsoft.com/office/spreadsheetml/2010/11/main" uri="{B97F6D7D-B522-45F9-BDA1-12C45D357490}">
          <x15:cacheHierarchy aggregatedColumn="26"/>
        </ext>
      </extLst>
    </cacheHierarchy>
    <cacheHierarchy uniqueName="[Measures].[Sum of ResolvedFlag]" caption="Sum of ResolvedFlag" measure="1" displayFolder="" measureGroup="NPS_Data" count="0" hidden="1">
      <extLst>
        <ext xmlns:x15="http://schemas.microsoft.com/office/spreadsheetml/2010/11/main" uri="{B97F6D7D-B522-45F9-BDA1-12C45D357490}">
          <x15:cacheHierarchy aggregatedColumn="30"/>
        </ext>
      </extLst>
    </cacheHierarchy>
    <cacheHierarchy uniqueName="[Measures].[Count of Ticket No]" caption="Count of Ticket No" measure="1" displayFolder="" measureGroup="NPS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LA_Breach]" caption="Count of SLA_Breach" measure="1" displayFolder="" measureGroup="NPS_Data" count="0" hidden="1">
      <extLst>
        <ext xmlns:x15="http://schemas.microsoft.com/office/spreadsheetml/2010/11/main" uri="{B97F6D7D-B522-45F9-BDA1-12C45D357490}">
          <x15:cacheHierarchy aggregatedColumn="29"/>
        </ext>
      </extLst>
    </cacheHierarchy>
    <cacheHierarchy uniqueName="[Measures].[Average of ResolutionHours]" caption="Average of ResolutionHours" measure="1" displayFolder="" measureGroup="NPS_Data" count="0" hidden="1">
      <extLst>
        <ext xmlns:x15="http://schemas.microsoft.com/office/spreadsheetml/2010/11/main" uri="{B97F6D7D-B522-45F9-BDA1-12C45D357490}">
          <x15:cacheHierarchy aggregatedColumn="26"/>
        </ext>
      </extLst>
    </cacheHierarchy>
    <cacheHierarchy uniqueName="[Measures].[Max of ResolutionHours]" caption="Max of ResolutionHours" measure="1" displayFolder="" measureGroup="NPS_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NPS_Data" uniqueName="[NPS_Data]" caption="NPS_Data"/>
  </dimensions>
  <measureGroups count="1">
    <measureGroup name="NPS_Data" caption="NP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627695833333" backgroundQuery="1" createdVersion="8" refreshedVersion="8" minRefreshableVersion="3" recordCount="0" supportSubquery="1" supportAdvancedDrill="1" xr:uid="{E4C921BA-B57D-48BB-83D7-11DF0F51F056}">
  <cacheSource type="external" connectionId="1"/>
  <cacheFields count="4">
    <cacheField name="[NPS_Data].[Issue 2 - NPS].[Issue 2 - NPS]" caption="Issue 2 - NPS" numFmtId="0" hierarchy="15" level="1">
      <sharedItems count="14">
        <s v="Applied for jobs but no satisfactory outcome (NPS)"/>
        <s v="False Promise By Sales Team (NPS)"/>
        <s v="Frequent Resume Rejection (NPS)"/>
        <s v="Instructor Related Feedback (NPS)"/>
        <s v="Lecture Notes Related (NPS)"/>
        <s v="Looking For Career Guidance (NPS)"/>
        <s v="Mentor Support Related Concerns (NPS)"/>
        <s v="Not eligible for placements (NPS)"/>
        <s v="Poor Class video quality (NPS)"/>
        <s v="Projects &amp; Assignment Related Concern (NPS)"/>
        <s v="TA Support Related Concerns (NPS)"/>
        <s v="Time Management Related Concerns (NPS)"/>
        <s v="Unhappy With Course Curriculum (NPS)"/>
        <s v="Unhappy With The Class Timings (NPS)"/>
      </sharedItems>
    </cacheField>
    <cacheField name="[Measures].[Average of ResolutionHours]" caption="Average of ResolutionHours" numFmtId="0" hierarchy="38" level="32767"/>
    <cacheField name="[Measures].[Max of ResolutionHours]" caption="Max of ResolutionHours" numFmtId="0" hierarchy="39" level="32767"/>
    <cacheField name="[Measures].[Count of Ticket No]" caption="Count of Ticket No" numFmtId="0" hierarchy="36" level="32767"/>
  </cacheFields>
  <cacheHierarchies count="40">
    <cacheHierarchy uniqueName="[NPS_Data].[Ticket No]" caption="Ticket No" attribute="1" defaultMemberUniqueName="[NPS_Data].[Ticket No].[All]" allUniqueName="[NPS_Data].[Ticket No].[All]" dimensionUniqueName="[NPS_Data]" displayFolder="" count="0" memberValueDatatype="130" unbalanced="0"/>
    <cacheHierarchy uniqueName="[NPS_Data].[Created Date]" caption="Created Date" attribute="1" defaultMemberUniqueName="[NPS_Data].[Created Date].[All]" allUniqueName="[NPS_Data].[Created Date].[All]" dimensionUniqueName="[NPS_Data]" displayFolder="" count="0" memberValueDatatype="130" unbalanced="0"/>
    <cacheHierarchy uniqueName="[NPS_Data].[Created Time]" caption="Created Time" attribute="1" defaultMemberUniqueName="[NPS_Data].[Created Time].[All]" allUniqueName="[NPS_Data].[Created Time].[All]" dimensionUniqueName="[NPS_Data]" displayFolder="" count="0" memberValueDatatype="130" unbalanced="0"/>
    <cacheHierarchy uniqueName="[NPS_Data].[CreatedDateTime]" caption="CreatedDateTime" attribute="1" time="1" defaultMemberUniqueName="[NPS_Data].[CreatedDateTime].[All]" allUniqueName="[NPS_Data].[CreatedDateTime].[All]" dimensionUniqueName="[NPS_Data]" displayFolder="" count="0" memberValueDatatype="7" unbalanced="0"/>
    <cacheHierarchy uniqueName="[NPS_Data].[Assigned To]" caption="Assigned To" attribute="1" defaultMemberUniqueName="[NPS_Data].[Assigned To].[All]" allUniqueName="[NPS_Data].[Assigned To].[All]" dimensionUniqueName="[NPS_Data]" displayFolder="" count="0" memberValueDatatype="130" unbalanced="0"/>
    <cacheHierarchy uniqueName="[NPS_Data].[Resolved Date]" caption="Resolved Date" attribute="1" defaultMemberUniqueName="[NPS_Data].[Resolved Date].[All]" allUniqueName="[NPS_Data].[Resolved Date].[All]" dimensionUniqueName="[NPS_Data]" displayFolder="" count="0" memberValueDatatype="130" unbalanced="0"/>
    <cacheHierarchy uniqueName="[NPS_Data].[Resolved Time]" caption="Resolved Time" attribute="1" defaultMemberUniqueName="[NPS_Data].[Resolved Time].[All]" allUniqueName="[NPS_Data].[Resolved Time].[All]" dimensionUniqueName="[NPS_Data]" displayFolder="" count="0" memberValueDatatype="130" unbalanced="0"/>
    <cacheHierarchy uniqueName="[NPS_Data].[ResolvedDateTime]" caption="ResolvedDateTime" attribute="1" defaultMemberUniqueName="[NPS_Data].[ResolvedDateTime].[All]" allUniqueName="[NPS_Data].[ResolvedDateTime].[All]" dimensionUniqueName="[NPS_Data]" displayFolder="" count="0" memberValueDatatype="130" unbalanced="0"/>
    <cacheHierarchy uniqueName="[NPS_Data].[Landing Folder]" caption="Landing Folder" attribute="1" defaultMemberUniqueName="[NPS_Data].[Landing Folder].[All]" allUniqueName="[NPS_Data].[Landing Folder].[All]" dimensionUniqueName="[NPS_Data]" displayFolder="" count="0" memberValueDatatype="130" unbalanced="0"/>
    <cacheHierarchy uniqueName="[NPS_Data].[Disposition Folder Level 1]" caption="Disposition Folder Level 1" attribute="1" defaultMemberUniqueName="[NPS_Data].[Disposition Folder Level 1].[All]" allUniqueName="[NPS_Data].[Disposition Folder Level 1].[All]" dimensionUniqueName="[NPS_Data]" displayFolder="" count="0" memberValueDatatype="130" unbalanced="0"/>
    <cacheHierarchy uniqueName="[NPS_Data].[Disposition Folder Level 2]" caption="Disposition Folder Level 2" attribute="1" defaultMemberUniqueName="[NPS_Data].[Disposition Folder Level 2].[All]" allUniqueName="[NPS_Data].[Disposition Folder Level 2].[All]" dimensionUniqueName="[NPS_Data]" displayFolder="" count="0" memberValueDatatype="130" unbalanced="0"/>
    <cacheHierarchy uniqueName="[NPS_Data].[Phone]" caption="Phone" attribute="1" defaultMemberUniqueName="[NPS_Data].[Phone].[All]" allUniqueName="[NPS_Data].[Phone].[All]" dimensionUniqueName="[NPS_Data]" displayFolder="" count="0" memberValueDatatype="130" unbalanced="0"/>
    <cacheHierarchy uniqueName="[NPS_Data].[Email]" caption="Email" attribute="1" defaultMemberUniqueName="[NPS_Data].[Email].[All]" allUniqueName="[NPS_Data].[Email].[All]" dimensionUniqueName="[NPS_Data]" displayFolder="" count="0" memberValueDatatype="130" unbalanced="0"/>
    <cacheHierarchy uniqueName="[NPS_Data].[Ticket All Remarks]" caption="Ticket All Remarks" attribute="1" defaultMemberUniqueName="[NPS_Data].[Ticket All Remarks].[All]" allUniqueName="[NPS_Data].[Ticket All Remarks].[All]" dimensionUniqueName="[NPS_Data]" displayFolder="" count="0" memberValueDatatype="130" unbalanced="0"/>
    <cacheHierarchy uniqueName="[NPS_Data].[Program Name]" caption="Program Name" attribute="1" defaultMemberUniqueName="[NPS_Data].[Program Name].[All]" allUniqueName="[NPS_Data].[Program Name].[All]" dimensionUniqueName="[NPS_Data]" displayFolder="" count="0" memberValueDatatype="130" unbalanced="0"/>
    <cacheHierarchy uniqueName="[NPS_Data].[Issue 2 - NPS]" caption="Issue 2 - NPS" attribute="1" defaultMemberUniqueName="[NPS_Data].[Issue 2 - NPS].[All]" allUniqueName="[NPS_Data].[Issue 2 - NPS].[All]" dimensionUniqueName="[NPS_Data]" displayFolder="" count="2" memberValueDatatype="130" unbalanced="0">
      <fieldsUsage count="2">
        <fieldUsage x="-1"/>
        <fieldUsage x="0"/>
      </fieldsUsage>
    </cacheHierarchy>
    <cacheHierarchy uniqueName="[NPS_Data].[NPS Rating]" caption="NPS Rating" attribute="1" defaultMemberUniqueName="[NPS_Data].[NPS Rating].[All]" allUniqueName="[NPS_Data].[NPS Rating].[All]" dimensionUniqueName="[NPS_Data]" displayFolder="" count="0" memberValueDatatype="20" unbalanced="0"/>
    <cacheHierarchy uniqueName="[NPS_Data].[Status]" caption="Status" attribute="1" defaultMemberUniqueName="[NPS_Data].[Status].[All]" allUniqueName="[NPS_Data].[Status].[All]" dimensionUniqueName="[NPS_Data]" displayFolder="" count="0" memberValueDatatype="130" unbalanced="0"/>
    <cacheHierarchy uniqueName="[NPS_Data].[Sub Status]" caption="Sub Status" attribute="1" defaultMemberUniqueName="[NPS_Data].[Sub Status].[All]" allUniqueName="[NPS_Data].[Sub Status].[All]" dimensionUniqueName="[NPS_Data]" displayFolder="" count="0" memberValueDatatype="130" unbalanced="0"/>
    <cacheHierarchy uniqueName="[NPS_Data].[MissingFieldsFlag]" caption="MissingFieldsFlag" attribute="1" defaultMemberUniqueName="[NPS_Data].[MissingFieldsFlag].[All]" allUniqueName="[NPS_Data].[MissingFieldsFlag].[All]" dimensionUniqueName="[NPS_Data]" displayFolder="" count="0" memberValueDatatype="130" unbalanced="0"/>
    <cacheHierarchy uniqueName="[NPS_Data].[StatusLogicFlag]" caption="StatusLogicFlag" attribute="1" defaultMemberUniqueName="[NPS_Data].[StatusLogicFlag].[All]" allUniqueName="[NPS_Data].[StatusLogicFlag].[All]" dimensionUniqueName="[NPS_Data]" displayFolder="" count="0" memberValueDatatype="130" unbalanced="0"/>
    <cacheHierarchy uniqueName="[NPS_Data].[ResolutionErrorFlag]" caption="ResolutionErrorFlag" attribute="1" defaultMemberUniqueName="[NPS_Data].[ResolutionErrorFlag].[All]" allUniqueName="[NPS_Data].[ResolutionErrorFlag].[All]" dimensionUniqueName="[NPS_Data]" displayFolder="" count="0" memberValueDatatype="130" unbalanced="0"/>
    <cacheHierarchy uniqueName="[NPS_Data].[CleanRemark]" caption="CleanRemark" attribute="1" defaultMemberUniqueName="[NPS_Data].[CleanRemark].[All]" allUniqueName="[NPS_Data].[CleanRemark].[All]" dimensionUniqueName="[NPS_Data]" displayFolder="" count="0" memberValueDatatype="130" unbalanced="0"/>
    <cacheHierarchy uniqueName="[NPS_Data].[RemarkHash]" caption="RemarkHash" attribute="1" defaultMemberUniqueName="[NPS_Data].[RemarkHash].[All]" allUniqueName="[NPS_Data].[RemarkHash].[All]" dimensionUniqueName="[NPS_Data]" displayFolder="" count="0" memberValueDatatype="20" unbalanced="0"/>
    <cacheHierarchy uniqueName="[NPS_Data].[DuplicateTicketFlag]" caption="DuplicateTicketFlag" attribute="1" defaultMemberUniqueName="[NPS_Data].[DuplicateTicketFlag].[All]" allUniqueName="[NPS_Data].[DuplicateTicketFlag].[All]" dimensionUniqueName="[NPS_Data]" displayFolder="" count="0" memberValueDatatype="130" unbalanced="0"/>
    <cacheHierarchy uniqueName="[NPS_Data].[DuplicateRemarksFlag]" caption="DuplicateRemarksFlag" attribute="1" defaultMemberUniqueName="[NPS_Data].[DuplicateRemarksFlag].[All]" allUniqueName="[NPS_Data].[DuplicateRemarksFlag].[All]" dimensionUniqueName="[NPS_Data]" displayFolder="" count="0" memberValueDatatype="130" unbalanced="0"/>
    <cacheHierarchy uniqueName="[NPS_Data].[ResolutionHours]" caption="ResolutionHours" attribute="1" defaultMemberUniqueName="[NPS_Data].[ResolutionHours].[All]" allUniqueName="[NPS_Data].[ResolutionHours].[All]" dimensionUniqueName="[NPS_Data]" displayFolder="" count="0" memberValueDatatype="5" unbalanced="0"/>
    <cacheHierarchy uniqueName="[NPS_Data].[Week]" caption="Week" attribute="1" defaultMemberUniqueName="[NPS_Data].[Week].[All]" allUniqueName="[NPS_Data].[Week].[All]" dimensionUniqueName="[NPS_Data]" displayFolder="" count="0" memberValueDatatype="130" unbalanced="0"/>
    <cacheHierarchy uniqueName="[NPS_Data].[Month]" caption="Month" attribute="1" defaultMemberUniqueName="[NPS_Data].[Month].[All]" allUniqueName="[NPS_Data].[Month].[All]" dimensionUniqueName="[NPS_Data]" displayFolder="" count="0" memberValueDatatype="130" unbalanced="0"/>
    <cacheHierarchy uniqueName="[NPS_Data].[SLA_Breach]" caption="SLA_Breach" attribute="1" defaultMemberUniqueName="[NPS_Data].[SLA_Breach].[All]" allUniqueName="[NPS_Data].[SLA_Breach].[All]" dimensionUniqueName="[NPS_Data]" displayFolder="" count="0" memberValueDatatype="130" unbalanced="0"/>
    <cacheHierarchy uniqueName="[NPS_Data].[ResolvedFlag]" caption="ResolvedFlag" attribute="1" defaultMemberUniqueName="[NPS_Data].[ResolvedFlag].[All]" allUniqueName="[NPS_Data].[ResolvedFlag].[All]" dimensionUniqueName="[NPS_Data]" displayFolder="" count="0" memberValueDatatype="20" unbalanced="0"/>
    <cacheHierarchy uniqueName="[NPS_Data].[Weekday]" caption="Weekday" attribute="1" defaultMemberUniqueName="[NPS_Data].[Weekday].[All]" allUniqueName="[NPS_Data].[Weekday].[All]" dimensionUniqueName="[NPS_Data]" displayFolder="" count="0" memberValueDatatype="130" unbalanced="0"/>
    <cacheHierarchy uniqueName="[Measures].[__XL_Count NPS_Data]" caption="__XL_Count NPS_Data" measure="1" displayFolder="" measureGroup="NPS_Data" count="0" hidden="1"/>
    <cacheHierarchy uniqueName="[Measures].[__No measures defined]" caption="__No measures defined" measure="1" displayFolder="" count="0" hidden="1"/>
    <cacheHierarchy uniqueName="[Measures].[Sum of ResolutionHours]" caption="Sum of ResolutionHours" measure="1" displayFolder="" measureGroup="NPS_Data" count="0" hidden="1">
      <extLst>
        <ext xmlns:x15="http://schemas.microsoft.com/office/spreadsheetml/2010/11/main" uri="{B97F6D7D-B522-45F9-BDA1-12C45D357490}">
          <x15:cacheHierarchy aggregatedColumn="26"/>
        </ext>
      </extLst>
    </cacheHierarchy>
    <cacheHierarchy uniqueName="[Measures].[Sum of ResolvedFlag]" caption="Sum of ResolvedFlag" measure="1" displayFolder="" measureGroup="NPS_Data" count="0" hidden="1">
      <extLst>
        <ext xmlns:x15="http://schemas.microsoft.com/office/spreadsheetml/2010/11/main" uri="{B97F6D7D-B522-45F9-BDA1-12C45D357490}">
          <x15:cacheHierarchy aggregatedColumn="30"/>
        </ext>
      </extLst>
    </cacheHierarchy>
    <cacheHierarchy uniqueName="[Measures].[Count of Ticket No]" caption="Count of Ticket No" measure="1" displayFolder="" measureGroup="NPS_Data"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SLA_Breach]" caption="Count of SLA_Breach" measure="1" displayFolder="" measureGroup="NPS_Data" count="0" hidden="1">
      <extLst>
        <ext xmlns:x15="http://schemas.microsoft.com/office/spreadsheetml/2010/11/main" uri="{B97F6D7D-B522-45F9-BDA1-12C45D357490}">
          <x15:cacheHierarchy aggregatedColumn="29"/>
        </ext>
      </extLst>
    </cacheHierarchy>
    <cacheHierarchy uniqueName="[Measures].[Average of ResolutionHours]" caption="Average of ResolutionHours" measure="1" displayFolder="" measureGroup="NP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Max of ResolutionHours]" caption="Max of ResolutionHours" measure="1" displayFolder="" measureGroup="NPS_Data" count="0" oneField="1" hidden="1">
      <fieldsUsage count="1">
        <fieldUsage x="2"/>
      </fieldsUsage>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NPS_Data" uniqueName="[NPS_Data]" caption="NPS_Data"/>
  </dimensions>
  <measureGroups count="1">
    <measureGroup name="NPS_Data" caption="NP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627696990741" backgroundQuery="1" createdVersion="8" refreshedVersion="8" minRefreshableVersion="3" recordCount="0" supportSubquery="1" supportAdvancedDrill="1" xr:uid="{52EFEBCC-3191-4D83-A0E7-D931AAD30AB1}">
  <cacheSource type="external" connectionId="1"/>
  <cacheFields count="5">
    <cacheField name="[NPS_Data].[Issue 2 - NPS].[Issue 2 - NPS]" caption="Issue 2 - NPS" numFmtId="0" hierarchy="15" level="1">
      <sharedItems count="14">
        <s v="Applied for jobs but no satisfactory outcome (NPS)"/>
        <s v="False Promise By Sales Team (NPS)"/>
        <s v="Frequent Resume Rejection (NPS)"/>
        <s v="Instructor Related Feedback (NPS)"/>
        <s v="Lecture Notes Related (NPS)"/>
        <s v="Looking For Career Guidance (NPS)"/>
        <s v="Mentor Support Related Concerns (NPS)"/>
        <s v="Not eligible for placements (NPS)"/>
        <s v="Poor Class video quality (NPS)"/>
        <s v="Projects &amp; Assignment Related Concern (NPS)"/>
        <s v="TA Support Related Concerns (NPS)"/>
        <s v="Time Management Related Concerns (NPS)"/>
        <s v="Unhappy With Course Curriculum (NPS)"/>
        <s v="Unhappy With The Class Timings (NPS)"/>
      </sharedItems>
    </cacheField>
    <cacheField name="[Measures].[Sum of ResolutionHours]" caption="Sum of ResolutionHours" numFmtId="0" hierarchy="34" level="32767"/>
    <cacheField name="[Measures].[Sum of ResolvedFlag]" caption="Sum of ResolvedFlag" numFmtId="0" hierarchy="35" level="32767"/>
    <cacheField name="[Measures].[Count of Ticket No]" caption="Count of Ticket No" numFmtId="0" hierarchy="36" level="32767"/>
    <cacheField name="[Measures].[Count of SLA_Breach]" caption="Count of SLA_Breach" numFmtId="0" hierarchy="37" level="32767"/>
  </cacheFields>
  <cacheHierarchies count="40">
    <cacheHierarchy uniqueName="[NPS_Data].[Ticket No]" caption="Ticket No" attribute="1" defaultMemberUniqueName="[NPS_Data].[Ticket No].[All]" allUniqueName="[NPS_Data].[Ticket No].[All]" dimensionUniqueName="[NPS_Data]" displayFolder="" count="0" memberValueDatatype="130" unbalanced="0"/>
    <cacheHierarchy uniqueName="[NPS_Data].[Created Date]" caption="Created Date" attribute="1" defaultMemberUniqueName="[NPS_Data].[Created Date].[All]" allUniqueName="[NPS_Data].[Created Date].[All]" dimensionUniqueName="[NPS_Data]" displayFolder="" count="0" memberValueDatatype="130" unbalanced="0"/>
    <cacheHierarchy uniqueName="[NPS_Data].[Created Time]" caption="Created Time" attribute="1" defaultMemberUniqueName="[NPS_Data].[Created Time].[All]" allUniqueName="[NPS_Data].[Created Time].[All]" dimensionUniqueName="[NPS_Data]" displayFolder="" count="0" memberValueDatatype="130" unbalanced="0"/>
    <cacheHierarchy uniqueName="[NPS_Data].[CreatedDateTime]" caption="CreatedDateTime" attribute="1" time="1" defaultMemberUniqueName="[NPS_Data].[CreatedDateTime].[All]" allUniqueName="[NPS_Data].[CreatedDateTime].[All]" dimensionUniqueName="[NPS_Data]" displayFolder="" count="0" memberValueDatatype="7" unbalanced="0"/>
    <cacheHierarchy uniqueName="[NPS_Data].[Assigned To]" caption="Assigned To" attribute="1" defaultMemberUniqueName="[NPS_Data].[Assigned To].[All]" allUniqueName="[NPS_Data].[Assigned To].[All]" dimensionUniqueName="[NPS_Data]" displayFolder="" count="0" memberValueDatatype="130" unbalanced="0"/>
    <cacheHierarchy uniqueName="[NPS_Data].[Resolved Date]" caption="Resolved Date" attribute="1" defaultMemberUniqueName="[NPS_Data].[Resolved Date].[All]" allUniqueName="[NPS_Data].[Resolved Date].[All]" dimensionUniqueName="[NPS_Data]" displayFolder="" count="0" memberValueDatatype="130" unbalanced="0"/>
    <cacheHierarchy uniqueName="[NPS_Data].[Resolved Time]" caption="Resolved Time" attribute="1" defaultMemberUniqueName="[NPS_Data].[Resolved Time].[All]" allUniqueName="[NPS_Data].[Resolved Time].[All]" dimensionUniqueName="[NPS_Data]" displayFolder="" count="0" memberValueDatatype="130" unbalanced="0"/>
    <cacheHierarchy uniqueName="[NPS_Data].[ResolvedDateTime]" caption="ResolvedDateTime" attribute="1" defaultMemberUniqueName="[NPS_Data].[ResolvedDateTime].[All]" allUniqueName="[NPS_Data].[ResolvedDateTime].[All]" dimensionUniqueName="[NPS_Data]" displayFolder="" count="0" memberValueDatatype="130" unbalanced="0"/>
    <cacheHierarchy uniqueName="[NPS_Data].[Landing Folder]" caption="Landing Folder" attribute="1" defaultMemberUniqueName="[NPS_Data].[Landing Folder].[All]" allUniqueName="[NPS_Data].[Landing Folder].[All]" dimensionUniqueName="[NPS_Data]" displayFolder="" count="0" memberValueDatatype="130" unbalanced="0"/>
    <cacheHierarchy uniqueName="[NPS_Data].[Disposition Folder Level 1]" caption="Disposition Folder Level 1" attribute="1" defaultMemberUniqueName="[NPS_Data].[Disposition Folder Level 1].[All]" allUniqueName="[NPS_Data].[Disposition Folder Level 1].[All]" dimensionUniqueName="[NPS_Data]" displayFolder="" count="0" memberValueDatatype="130" unbalanced="0"/>
    <cacheHierarchy uniqueName="[NPS_Data].[Disposition Folder Level 2]" caption="Disposition Folder Level 2" attribute="1" defaultMemberUniqueName="[NPS_Data].[Disposition Folder Level 2].[All]" allUniqueName="[NPS_Data].[Disposition Folder Level 2].[All]" dimensionUniqueName="[NPS_Data]" displayFolder="" count="0" memberValueDatatype="130" unbalanced="0"/>
    <cacheHierarchy uniqueName="[NPS_Data].[Phone]" caption="Phone" attribute="1" defaultMemberUniqueName="[NPS_Data].[Phone].[All]" allUniqueName="[NPS_Data].[Phone].[All]" dimensionUniqueName="[NPS_Data]" displayFolder="" count="0" memberValueDatatype="130" unbalanced="0"/>
    <cacheHierarchy uniqueName="[NPS_Data].[Email]" caption="Email" attribute="1" defaultMemberUniqueName="[NPS_Data].[Email].[All]" allUniqueName="[NPS_Data].[Email].[All]" dimensionUniqueName="[NPS_Data]" displayFolder="" count="0" memberValueDatatype="130" unbalanced="0"/>
    <cacheHierarchy uniqueName="[NPS_Data].[Ticket All Remarks]" caption="Ticket All Remarks" attribute="1" defaultMemberUniqueName="[NPS_Data].[Ticket All Remarks].[All]" allUniqueName="[NPS_Data].[Ticket All Remarks].[All]" dimensionUniqueName="[NPS_Data]" displayFolder="" count="0" memberValueDatatype="130" unbalanced="0"/>
    <cacheHierarchy uniqueName="[NPS_Data].[Program Name]" caption="Program Name" attribute="1" defaultMemberUniqueName="[NPS_Data].[Program Name].[All]" allUniqueName="[NPS_Data].[Program Name].[All]" dimensionUniqueName="[NPS_Data]" displayFolder="" count="0" memberValueDatatype="130" unbalanced="0"/>
    <cacheHierarchy uniqueName="[NPS_Data].[Issue 2 - NPS]" caption="Issue 2 - NPS" attribute="1" defaultMemberUniqueName="[NPS_Data].[Issue 2 - NPS].[All]" allUniqueName="[NPS_Data].[Issue 2 - NPS].[All]" dimensionUniqueName="[NPS_Data]" displayFolder="" count="2" memberValueDatatype="130" unbalanced="0">
      <fieldsUsage count="2">
        <fieldUsage x="-1"/>
        <fieldUsage x="0"/>
      </fieldsUsage>
    </cacheHierarchy>
    <cacheHierarchy uniqueName="[NPS_Data].[NPS Rating]" caption="NPS Rating" attribute="1" defaultMemberUniqueName="[NPS_Data].[NPS Rating].[All]" allUniqueName="[NPS_Data].[NPS Rating].[All]" dimensionUniqueName="[NPS_Data]" displayFolder="" count="0" memberValueDatatype="20" unbalanced="0"/>
    <cacheHierarchy uniqueName="[NPS_Data].[Status]" caption="Status" attribute="1" defaultMemberUniqueName="[NPS_Data].[Status].[All]" allUniqueName="[NPS_Data].[Status].[All]" dimensionUniqueName="[NPS_Data]" displayFolder="" count="0" memberValueDatatype="130" unbalanced="0"/>
    <cacheHierarchy uniqueName="[NPS_Data].[Sub Status]" caption="Sub Status" attribute="1" defaultMemberUniqueName="[NPS_Data].[Sub Status].[All]" allUniqueName="[NPS_Data].[Sub Status].[All]" dimensionUniqueName="[NPS_Data]" displayFolder="" count="0" memberValueDatatype="130" unbalanced="0"/>
    <cacheHierarchy uniqueName="[NPS_Data].[MissingFieldsFlag]" caption="MissingFieldsFlag" attribute="1" defaultMemberUniqueName="[NPS_Data].[MissingFieldsFlag].[All]" allUniqueName="[NPS_Data].[MissingFieldsFlag].[All]" dimensionUniqueName="[NPS_Data]" displayFolder="" count="0" memberValueDatatype="130" unbalanced="0"/>
    <cacheHierarchy uniqueName="[NPS_Data].[StatusLogicFlag]" caption="StatusLogicFlag" attribute="1" defaultMemberUniqueName="[NPS_Data].[StatusLogicFlag].[All]" allUniqueName="[NPS_Data].[StatusLogicFlag].[All]" dimensionUniqueName="[NPS_Data]" displayFolder="" count="0" memberValueDatatype="130" unbalanced="0"/>
    <cacheHierarchy uniqueName="[NPS_Data].[ResolutionErrorFlag]" caption="ResolutionErrorFlag" attribute="1" defaultMemberUniqueName="[NPS_Data].[ResolutionErrorFlag].[All]" allUniqueName="[NPS_Data].[ResolutionErrorFlag].[All]" dimensionUniqueName="[NPS_Data]" displayFolder="" count="0" memberValueDatatype="130" unbalanced="0"/>
    <cacheHierarchy uniqueName="[NPS_Data].[CleanRemark]" caption="CleanRemark" attribute="1" defaultMemberUniqueName="[NPS_Data].[CleanRemark].[All]" allUniqueName="[NPS_Data].[CleanRemark].[All]" dimensionUniqueName="[NPS_Data]" displayFolder="" count="0" memberValueDatatype="130" unbalanced="0"/>
    <cacheHierarchy uniqueName="[NPS_Data].[RemarkHash]" caption="RemarkHash" attribute="1" defaultMemberUniqueName="[NPS_Data].[RemarkHash].[All]" allUniqueName="[NPS_Data].[RemarkHash].[All]" dimensionUniqueName="[NPS_Data]" displayFolder="" count="0" memberValueDatatype="20" unbalanced="0"/>
    <cacheHierarchy uniqueName="[NPS_Data].[DuplicateTicketFlag]" caption="DuplicateTicketFlag" attribute="1" defaultMemberUniqueName="[NPS_Data].[DuplicateTicketFlag].[All]" allUniqueName="[NPS_Data].[DuplicateTicketFlag].[All]" dimensionUniqueName="[NPS_Data]" displayFolder="" count="0" memberValueDatatype="130" unbalanced="0"/>
    <cacheHierarchy uniqueName="[NPS_Data].[DuplicateRemarksFlag]" caption="DuplicateRemarksFlag" attribute="1" defaultMemberUniqueName="[NPS_Data].[DuplicateRemarksFlag].[All]" allUniqueName="[NPS_Data].[DuplicateRemarksFlag].[All]" dimensionUniqueName="[NPS_Data]" displayFolder="" count="0" memberValueDatatype="130" unbalanced="0"/>
    <cacheHierarchy uniqueName="[NPS_Data].[ResolutionHours]" caption="ResolutionHours" attribute="1" defaultMemberUniqueName="[NPS_Data].[ResolutionHours].[All]" allUniqueName="[NPS_Data].[ResolutionHours].[All]" dimensionUniqueName="[NPS_Data]" displayFolder="" count="0" memberValueDatatype="5" unbalanced="0"/>
    <cacheHierarchy uniqueName="[NPS_Data].[Week]" caption="Week" attribute="1" defaultMemberUniqueName="[NPS_Data].[Week].[All]" allUniqueName="[NPS_Data].[Week].[All]" dimensionUniqueName="[NPS_Data]" displayFolder="" count="0" memberValueDatatype="130" unbalanced="0"/>
    <cacheHierarchy uniqueName="[NPS_Data].[Month]" caption="Month" attribute="1" defaultMemberUniqueName="[NPS_Data].[Month].[All]" allUniqueName="[NPS_Data].[Month].[All]" dimensionUniqueName="[NPS_Data]" displayFolder="" count="0" memberValueDatatype="130" unbalanced="0"/>
    <cacheHierarchy uniqueName="[NPS_Data].[SLA_Breach]" caption="SLA_Breach" attribute="1" defaultMemberUniqueName="[NPS_Data].[SLA_Breach].[All]" allUniqueName="[NPS_Data].[SLA_Breach].[All]" dimensionUniqueName="[NPS_Data]" displayFolder="" count="0" memberValueDatatype="130" unbalanced="0"/>
    <cacheHierarchy uniqueName="[NPS_Data].[ResolvedFlag]" caption="ResolvedFlag" attribute="1" defaultMemberUniqueName="[NPS_Data].[ResolvedFlag].[All]" allUniqueName="[NPS_Data].[ResolvedFlag].[All]" dimensionUniqueName="[NPS_Data]" displayFolder="" count="0" memberValueDatatype="20" unbalanced="0"/>
    <cacheHierarchy uniqueName="[NPS_Data].[Weekday]" caption="Weekday" attribute="1" defaultMemberUniqueName="[NPS_Data].[Weekday].[All]" allUniqueName="[NPS_Data].[Weekday].[All]" dimensionUniqueName="[NPS_Data]" displayFolder="" count="0" memberValueDatatype="130" unbalanced="0"/>
    <cacheHierarchy uniqueName="[Measures].[__XL_Count NPS_Data]" caption="__XL_Count NPS_Data" measure="1" displayFolder="" measureGroup="NPS_Data" count="0" hidden="1"/>
    <cacheHierarchy uniqueName="[Measures].[__No measures defined]" caption="__No measures defined" measure="1" displayFolder="" count="0" hidden="1"/>
    <cacheHierarchy uniqueName="[Measures].[Sum of ResolutionHours]" caption="Sum of ResolutionHours" measure="1" displayFolder="" measureGroup="NPS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ResolvedFlag]" caption="Sum of ResolvedFlag" measure="1" displayFolder="" measureGroup="NPS_Data"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Ticket No]" caption="Count of Ticket No" measure="1" displayFolder="" measureGroup="NPS_Data"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SLA_Breach]" caption="Count of SLA_Breach" measure="1" displayFolder="" measureGroup="NPS_Data" count="0" oneField="1" hidden="1">
      <fieldsUsage count="1">
        <fieldUsage x="4"/>
      </fieldsUsage>
      <extLst>
        <ext xmlns:x15="http://schemas.microsoft.com/office/spreadsheetml/2010/11/main" uri="{B97F6D7D-B522-45F9-BDA1-12C45D357490}">
          <x15:cacheHierarchy aggregatedColumn="29"/>
        </ext>
      </extLst>
    </cacheHierarchy>
    <cacheHierarchy uniqueName="[Measures].[Average of ResolutionHours]" caption="Average of ResolutionHours" measure="1" displayFolder="" measureGroup="NPS_Data" count="0" hidden="1">
      <extLst>
        <ext xmlns:x15="http://schemas.microsoft.com/office/spreadsheetml/2010/11/main" uri="{B97F6D7D-B522-45F9-BDA1-12C45D357490}">
          <x15:cacheHierarchy aggregatedColumn="26"/>
        </ext>
      </extLst>
    </cacheHierarchy>
    <cacheHierarchy uniqueName="[Measures].[Max of ResolutionHours]" caption="Max of ResolutionHours" measure="1" displayFolder="" measureGroup="NPS_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NPS_Data" uniqueName="[NPS_Data]" caption="NPS_Data"/>
  </dimensions>
  <measureGroups count="1">
    <measureGroup name="NPS_Data" caption="NP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631115625001" backgroundQuery="1" createdVersion="8" refreshedVersion="8" minRefreshableVersion="3" recordCount="0" supportSubquery="1" supportAdvancedDrill="1" xr:uid="{ACADAC3D-7325-47E4-A872-13BFCE5487D4}">
  <cacheSource type="external" connectionId="1"/>
  <cacheFields count="2">
    <cacheField name="[NPS_Data].[Weekday].[Weekday]" caption="Weekday" numFmtId="0" hierarchy="31" level="1">
      <sharedItems count="7">
        <s v="Friday"/>
        <s v="Monday"/>
        <s v="Saturday"/>
        <s v="Sunday"/>
        <s v="Thursday"/>
        <s v="Tuesday"/>
        <s v="Wednesday"/>
      </sharedItems>
    </cacheField>
    <cacheField name="[Measures].[Count of Ticket No]" caption="Count of Ticket No" numFmtId="0" hierarchy="36" level="32767"/>
  </cacheFields>
  <cacheHierarchies count="40">
    <cacheHierarchy uniqueName="[NPS_Data].[Ticket No]" caption="Ticket No" attribute="1" defaultMemberUniqueName="[NPS_Data].[Ticket No].[All]" allUniqueName="[NPS_Data].[Ticket No].[All]" dimensionUniqueName="[NPS_Data]" displayFolder="" count="0" memberValueDatatype="130" unbalanced="0"/>
    <cacheHierarchy uniqueName="[NPS_Data].[Created Date]" caption="Created Date" attribute="1" defaultMemberUniqueName="[NPS_Data].[Created Date].[All]" allUniqueName="[NPS_Data].[Created Date].[All]" dimensionUniqueName="[NPS_Data]" displayFolder="" count="0" memberValueDatatype="130" unbalanced="0"/>
    <cacheHierarchy uniqueName="[NPS_Data].[Created Time]" caption="Created Time" attribute="1" defaultMemberUniqueName="[NPS_Data].[Created Time].[All]" allUniqueName="[NPS_Data].[Created Time].[All]" dimensionUniqueName="[NPS_Data]" displayFolder="" count="0" memberValueDatatype="130" unbalanced="0"/>
    <cacheHierarchy uniqueName="[NPS_Data].[CreatedDateTime]" caption="CreatedDateTime" attribute="1" time="1" defaultMemberUniqueName="[NPS_Data].[CreatedDateTime].[All]" allUniqueName="[NPS_Data].[CreatedDateTime].[All]" dimensionUniqueName="[NPS_Data]" displayFolder="" count="0" memberValueDatatype="7" unbalanced="0"/>
    <cacheHierarchy uniqueName="[NPS_Data].[Assigned To]" caption="Assigned To" attribute="1" defaultMemberUniqueName="[NPS_Data].[Assigned To].[All]" allUniqueName="[NPS_Data].[Assigned To].[All]" dimensionUniqueName="[NPS_Data]" displayFolder="" count="0" memberValueDatatype="130" unbalanced="0"/>
    <cacheHierarchy uniqueName="[NPS_Data].[Resolved Date]" caption="Resolved Date" attribute="1" defaultMemberUniqueName="[NPS_Data].[Resolved Date].[All]" allUniqueName="[NPS_Data].[Resolved Date].[All]" dimensionUniqueName="[NPS_Data]" displayFolder="" count="0" memberValueDatatype="130" unbalanced="0"/>
    <cacheHierarchy uniqueName="[NPS_Data].[Resolved Time]" caption="Resolved Time" attribute="1" defaultMemberUniqueName="[NPS_Data].[Resolved Time].[All]" allUniqueName="[NPS_Data].[Resolved Time].[All]" dimensionUniqueName="[NPS_Data]" displayFolder="" count="0" memberValueDatatype="130" unbalanced="0"/>
    <cacheHierarchy uniqueName="[NPS_Data].[ResolvedDateTime]" caption="ResolvedDateTime" attribute="1" defaultMemberUniqueName="[NPS_Data].[ResolvedDateTime].[All]" allUniqueName="[NPS_Data].[ResolvedDateTime].[All]" dimensionUniqueName="[NPS_Data]" displayFolder="" count="0" memberValueDatatype="130" unbalanced="0"/>
    <cacheHierarchy uniqueName="[NPS_Data].[Landing Folder]" caption="Landing Folder" attribute="1" defaultMemberUniqueName="[NPS_Data].[Landing Folder].[All]" allUniqueName="[NPS_Data].[Landing Folder].[All]" dimensionUniqueName="[NPS_Data]" displayFolder="" count="0" memberValueDatatype="130" unbalanced="0"/>
    <cacheHierarchy uniqueName="[NPS_Data].[Disposition Folder Level 1]" caption="Disposition Folder Level 1" attribute="1" defaultMemberUniqueName="[NPS_Data].[Disposition Folder Level 1].[All]" allUniqueName="[NPS_Data].[Disposition Folder Level 1].[All]" dimensionUniqueName="[NPS_Data]" displayFolder="" count="0" memberValueDatatype="130" unbalanced="0"/>
    <cacheHierarchy uniqueName="[NPS_Data].[Disposition Folder Level 2]" caption="Disposition Folder Level 2" attribute="1" defaultMemberUniqueName="[NPS_Data].[Disposition Folder Level 2].[All]" allUniqueName="[NPS_Data].[Disposition Folder Level 2].[All]" dimensionUniqueName="[NPS_Data]" displayFolder="" count="0" memberValueDatatype="130" unbalanced="0"/>
    <cacheHierarchy uniqueName="[NPS_Data].[Phone]" caption="Phone" attribute="1" defaultMemberUniqueName="[NPS_Data].[Phone].[All]" allUniqueName="[NPS_Data].[Phone].[All]" dimensionUniqueName="[NPS_Data]" displayFolder="" count="0" memberValueDatatype="130" unbalanced="0"/>
    <cacheHierarchy uniqueName="[NPS_Data].[Email]" caption="Email" attribute="1" defaultMemberUniqueName="[NPS_Data].[Email].[All]" allUniqueName="[NPS_Data].[Email].[All]" dimensionUniqueName="[NPS_Data]" displayFolder="" count="0" memberValueDatatype="130" unbalanced="0"/>
    <cacheHierarchy uniqueName="[NPS_Data].[Ticket All Remarks]" caption="Ticket All Remarks" attribute="1" defaultMemberUniqueName="[NPS_Data].[Ticket All Remarks].[All]" allUniqueName="[NPS_Data].[Ticket All Remarks].[All]" dimensionUniqueName="[NPS_Data]" displayFolder="" count="0" memberValueDatatype="130" unbalanced="0"/>
    <cacheHierarchy uniqueName="[NPS_Data].[Program Name]" caption="Program Name" attribute="1" defaultMemberUniqueName="[NPS_Data].[Program Name].[All]" allUniqueName="[NPS_Data].[Program Name].[All]" dimensionUniqueName="[NPS_Data]" displayFolder="" count="0" memberValueDatatype="130" unbalanced="0"/>
    <cacheHierarchy uniqueName="[NPS_Data].[Issue 2 - NPS]" caption="Issue 2 - NPS" attribute="1" defaultMemberUniqueName="[NPS_Data].[Issue 2 - NPS].[All]" allUniqueName="[NPS_Data].[Issue 2 - NPS].[All]" dimensionUniqueName="[NPS_Data]" displayFolder="" count="0" memberValueDatatype="130" unbalanced="0"/>
    <cacheHierarchy uniqueName="[NPS_Data].[NPS Rating]" caption="NPS Rating" attribute="1" defaultMemberUniqueName="[NPS_Data].[NPS Rating].[All]" allUniqueName="[NPS_Data].[NPS Rating].[All]" dimensionUniqueName="[NPS_Data]" displayFolder="" count="0" memberValueDatatype="20" unbalanced="0"/>
    <cacheHierarchy uniqueName="[NPS_Data].[Status]" caption="Status" attribute="1" defaultMemberUniqueName="[NPS_Data].[Status].[All]" allUniqueName="[NPS_Data].[Status].[All]" dimensionUniqueName="[NPS_Data]" displayFolder="" count="0" memberValueDatatype="130" unbalanced="0"/>
    <cacheHierarchy uniqueName="[NPS_Data].[Sub Status]" caption="Sub Status" attribute="1" defaultMemberUniqueName="[NPS_Data].[Sub Status].[All]" allUniqueName="[NPS_Data].[Sub Status].[All]" dimensionUniqueName="[NPS_Data]" displayFolder="" count="0" memberValueDatatype="130" unbalanced="0"/>
    <cacheHierarchy uniqueName="[NPS_Data].[MissingFieldsFlag]" caption="MissingFieldsFlag" attribute="1" defaultMemberUniqueName="[NPS_Data].[MissingFieldsFlag].[All]" allUniqueName="[NPS_Data].[MissingFieldsFlag].[All]" dimensionUniqueName="[NPS_Data]" displayFolder="" count="0" memberValueDatatype="130" unbalanced="0"/>
    <cacheHierarchy uniqueName="[NPS_Data].[StatusLogicFlag]" caption="StatusLogicFlag" attribute="1" defaultMemberUniqueName="[NPS_Data].[StatusLogicFlag].[All]" allUniqueName="[NPS_Data].[StatusLogicFlag].[All]" dimensionUniqueName="[NPS_Data]" displayFolder="" count="0" memberValueDatatype="130" unbalanced="0"/>
    <cacheHierarchy uniqueName="[NPS_Data].[ResolutionErrorFlag]" caption="ResolutionErrorFlag" attribute="1" defaultMemberUniqueName="[NPS_Data].[ResolutionErrorFlag].[All]" allUniqueName="[NPS_Data].[ResolutionErrorFlag].[All]" dimensionUniqueName="[NPS_Data]" displayFolder="" count="0" memberValueDatatype="130" unbalanced="0"/>
    <cacheHierarchy uniqueName="[NPS_Data].[CleanRemark]" caption="CleanRemark" attribute="1" defaultMemberUniqueName="[NPS_Data].[CleanRemark].[All]" allUniqueName="[NPS_Data].[CleanRemark].[All]" dimensionUniqueName="[NPS_Data]" displayFolder="" count="0" memberValueDatatype="130" unbalanced="0"/>
    <cacheHierarchy uniqueName="[NPS_Data].[RemarkHash]" caption="RemarkHash" attribute="1" defaultMemberUniqueName="[NPS_Data].[RemarkHash].[All]" allUniqueName="[NPS_Data].[RemarkHash].[All]" dimensionUniqueName="[NPS_Data]" displayFolder="" count="0" memberValueDatatype="20" unbalanced="0"/>
    <cacheHierarchy uniqueName="[NPS_Data].[DuplicateTicketFlag]" caption="DuplicateTicketFlag" attribute="1" defaultMemberUniqueName="[NPS_Data].[DuplicateTicketFlag].[All]" allUniqueName="[NPS_Data].[DuplicateTicketFlag].[All]" dimensionUniqueName="[NPS_Data]" displayFolder="" count="0" memberValueDatatype="130" unbalanced="0"/>
    <cacheHierarchy uniqueName="[NPS_Data].[DuplicateRemarksFlag]" caption="DuplicateRemarksFlag" attribute="1" defaultMemberUniqueName="[NPS_Data].[DuplicateRemarksFlag].[All]" allUniqueName="[NPS_Data].[DuplicateRemarksFlag].[All]" dimensionUniqueName="[NPS_Data]" displayFolder="" count="0" memberValueDatatype="130" unbalanced="0"/>
    <cacheHierarchy uniqueName="[NPS_Data].[ResolutionHours]" caption="ResolutionHours" attribute="1" defaultMemberUniqueName="[NPS_Data].[ResolutionHours].[All]" allUniqueName="[NPS_Data].[ResolutionHours].[All]" dimensionUniqueName="[NPS_Data]" displayFolder="" count="0" memberValueDatatype="5" unbalanced="0"/>
    <cacheHierarchy uniqueName="[NPS_Data].[Week]" caption="Week" attribute="1" defaultMemberUniqueName="[NPS_Data].[Week].[All]" allUniqueName="[NPS_Data].[Week].[All]" dimensionUniqueName="[NPS_Data]" displayFolder="" count="0" memberValueDatatype="130" unbalanced="0"/>
    <cacheHierarchy uniqueName="[NPS_Data].[Month]" caption="Month" attribute="1" defaultMemberUniqueName="[NPS_Data].[Month].[All]" allUniqueName="[NPS_Data].[Month].[All]" dimensionUniqueName="[NPS_Data]" displayFolder="" count="0" memberValueDatatype="130" unbalanced="0"/>
    <cacheHierarchy uniqueName="[NPS_Data].[SLA_Breach]" caption="SLA_Breach" attribute="1" defaultMemberUniqueName="[NPS_Data].[SLA_Breach].[All]" allUniqueName="[NPS_Data].[SLA_Breach].[All]" dimensionUniqueName="[NPS_Data]" displayFolder="" count="0" memberValueDatatype="130" unbalanced="0"/>
    <cacheHierarchy uniqueName="[NPS_Data].[ResolvedFlag]" caption="ResolvedFlag" attribute="1" defaultMemberUniqueName="[NPS_Data].[ResolvedFlag].[All]" allUniqueName="[NPS_Data].[ResolvedFlag].[All]" dimensionUniqueName="[NPS_Data]" displayFolder="" count="0" memberValueDatatype="20" unbalanced="0"/>
    <cacheHierarchy uniqueName="[NPS_Data].[Weekday]" caption="Weekday" attribute="1" defaultMemberUniqueName="[NPS_Data].[Weekday].[All]" allUniqueName="[NPS_Data].[Weekday].[All]" dimensionUniqueName="[NPS_Data]" displayFolder="" count="2" memberValueDatatype="130" unbalanced="0">
      <fieldsUsage count="2">
        <fieldUsage x="-1"/>
        <fieldUsage x="0"/>
      </fieldsUsage>
    </cacheHierarchy>
    <cacheHierarchy uniqueName="[Measures].[__XL_Count NPS_Data]" caption="__XL_Count NPS_Data" measure="1" displayFolder="" measureGroup="NPS_Data" count="0" hidden="1"/>
    <cacheHierarchy uniqueName="[Measures].[__No measures defined]" caption="__No measures defined" measure="1" displayFolder="" count="0" hidden="1"/>
    <cacheHierarchy uniqueName="[Measures].[Sum of ResolutionHours]" caption="Sum of ResolutionHours" measure="1" displayFolder="" measureGroup="NPS_Data" count="0" hidden="1">
      <extLst>
        <ext xmlns:x15="http://schemas.microsoft.com/office/spreadsheetml/2010/11/main" uri="{B97F6D7D-B522-45F9-BDA1-12C45D357490}">
          <x15:cacheHierarchy aggregatedColumn="26"/>
        </ext>
      </extLst>
    </cacheHierarchy>
    <cacheHierarchy uniqueName="[Measures].[Sum of ResolvedFlag]" caption="Sum of ResolvedFlag" measure="1" displayFolder="" measureGroup="NPS_Data" count="0" hidden="1">
      <extLst>
        <ext xmlns:x15="http://schemas.microsoft.com/office/spreadsheetml/2010/11/main" uri="{B97F6D7D-B522-45F9-BDA1-12C45D357490}">
          <x15:cacheHierarchy aggregatedColumn="30"/>
        </ext>
      </extLst>
    </cacheHierarchy>
    <cacheHierarchy uniqueName="[Measures].[Count of Ticket No]" caption="Count of Ticket No" measure="1" displayFolder="" measureGroup="NPS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LA_Breach]" caption="Count of SLA_Breach" measure="1" displayFolder="" measureGroup="NPS_Data" count="0" hidden="1">
      <extLst>
        <ext xmlns:x15="http://schemas.microsoft.com/office/spreadsheetml/2010/11/main" uri="{B97F6D7D-B522-45F9-BDA1-12C45D357490}">
          <x15:cacheHierarchy aggregatedColumn="29"/>
        </ext>
      </extLst>
    </cacheHierarchy>
    <cacheHierarchy uniqueName="[Measures].[Average of ResolutionHours]" caption="Average of ResolutionHours" measure="1" displayFolder="" measureGroup="NPS_Data" count="0" hidden="1">
      <extLst>
        <ext xmlns:x15="http://schemas.microsoft.com/office/spreadsheetml/2010/11/main" uri="{B97F6D7D-B522-45F9-BDA1-12C45D357490}">
          <x15:cacheHierarchy aggregatedColumn="26"/>
        </ext>
      </extLst>
    </cacheHierarchy>
    <cacheHierarchy uniqueName="[Measures].[Max of ResolutionHours]" caption="Max of ResolutionHours" measure="1" displayFolder="" measureGroup="NPS_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NPS_Data" uniqueName="[NPS_Data]" caption="NPS_Data"/>
  </dimensions>
  <measureGroups count="1">
    <measureGroup name="NPS_Data" caption="NP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8.067442245374" backgroundQuery="1" createdVersion="8" refreshedVersion="8" minRefreshableVersion="3" recordCount="0" supportSubquery="1" supportAdvancedDrill="1" xr:uid="{796C389E-3605-4C52-B9B4-C87C8BBF4183}">
  <cacheSource type="external" connectionId="1"/>
  <cacheFields count="3">
    <cacheField name="[NPS_Data].[Issue 2 - NPS].[Issue 2 - NPS]" caption="Issue 2 - NPS" numFmtId="0" hierarchy="15" level="1">
      <sharedItems count="14">
        <s v="Applied for jobs but no satisfactory outcome (NPS)"/>
        <s v="False Promise By Sales Team (NPS)"/>
        <s v="Frequent Resume Rejection (NPS)"/>
        <s v="Instructor Related Feedback (NPS)"/>
        <s v="Lecture Notes Related (NPS)"/>
        <s v="Looking For Career Guidance (NPS)"/>
        <s v="Mentor Support Related Concerns (NPS)"/>
        <s v="Not eligible for placements (NPS)"/>
        <s v="Poor Class video quality (NPS)"/>
        <s v="Projects &amp; Assignment Related Concern (NPS)"/>
        <s v="TA Support Related Concerns (NPS)"/>
        <s v="Time Management Related Concerns (NPS)"/>
        <s v="Unhappy With Course Curriculum (NPS)"/>
        <s v="Unhappy With The Class Timings (NPS)"/>
      </sharedItems>
    </cacheField>
    <cacheField name="[NPS_Data].[Program Name].[Program Name]" caption="Program Name" numFmtId="0" hierarchy="14" level="1">
      <sharedItems count="4">
        <s v="AIML"/>
        <s v="DevOps"/>
        <s v="DSML"/>
        <s v="Academy" u="1"/>
      </sharedItems>
    </cacheField>
    <cacheField name="[Measures].[Count of Ticket No]" caption="Count of Ticket No" numFmtId="0" hierarchy="36" level="32767"/>
  </cacheFields>
  <cacheHierarchies count="40">
    <cacheHierarchy uniqueName="[NPS_Data].[Ticket No]" caption="Ticket No" attribute="1" defaultMemberUniqueName="[NPS_Data].[Ticket No].[All]" allUniqueName="[NPS_Data].[Ticket No].[All]" dimensionUniqueName="[NPS_Data]" displayFolder="" count="2" memberValueDatatype="130" unbalanced="0"/>
    <cacheHierarchy uniqueName="[NPS_Data].[Created Date]" caption="Created Date" attribute="1" defaultMemberUniqueName="[NPS_Data].[Created Date].[All]" allUniqueName="[NPS_Data].[Created Date].[All]" dimensionUniqueName="[NPS_Data]" displayFolder="" count="2" memberValueDatatype="130" unbalanced="0"/>
    <cacheHierarchy uniqueName="[NPS_Data].[Created Time]" caption="Created Time" attribute="1" defaultMemberUniqueName="[NPS_Data].[Created Time].[All]" allUniqueName="[NPS_Data].[Created Time].[All]" dimensionUniqueName="[NPS_Data]" displayFolder="" count="2" memberValueDatatype="130" unbalanced="0"/>
    <cacheHierarchy uniqueName="[NPS_Data].[CreatedDateTime]" caption="CreatedDateTime" attribute="1" time="1" defaultMemberUniqueName="[NPS_Data].[CreatedDateTime].[All]" allUniqueName="[NPS_Data].[CreatedDateTime].[All]" dimensionUniqueName="[NPS_Data]" displayFolder="" count="2" memberValueDatatype="7" unbalanced="0"/>
    <cacheHierarchy uniqueName="[NPS_Data].[Assigned To]" caption="Assigned To" attribute="1" defaultMemberUniqueName="[NPS_Data].[Assigned To].[All]" allUniqueName="[NPS_Data].[Assigned To].[All]" dimensionUniqueName="[NPS_Data]" displayFolder="" count="2" memberValueDatatype="130" unbalanced="0"/>
    <cacheHierarchy uniqueName="[NPS_Data].[Resolved Date]" caption="Resolved Date" attribute="1" defaultMemberUniqueName="[NPS_Data].[Resolved Date].[All]" allUniqueName="[NPS_Data].[Resolved Date].[All]" dimensionUniqueName="[NPS_Data]" displayFolder="" count="2" memberValueDatatype="130" unbalanced="0"/>
    <cacheHierarchy uniqueName="[NPS_Data].[Resolved Time]" caption="Resolved Time" attribute="1" defaultMemberUniqueName="[NPS_Data].[Resolved Time].[All]" allUniqueName="[NPS_Data].[Resolved Time].[All]" dimensionUniqueName="[NPS_Data]" displayFolder="" count="2" memberValueDatatype="130" unbalanced="0"/>
    <cacheHierarchy uniqueName="[NPS_Data].[ResolvedDateTime]" caption="ResolvedDateTime" attribute="1" defaultMemberUniqueName="[NPS_Data].[ResolvedDateTime].[All]" allUniqueName="[NPS_Data].[ResolvedDateTime].[All]" dimensionUniqueName="[NPS_Data]" displayFolder="" count="2" memberValueDatatype="130" unbalanced="0"/>
    <cacheHierarchy uniqueName="[NPS_Data].[Landing Folder]" caption="Landing Folder" attribute="1" defaultMemberUniqueName="[NPS_Data].[Landing Folder].[All]" allUniqueName="[NPS_Data].[Landing Folder].[All]" dimensionUniqueName="[NPS_Data]" displayFolder="" count="2" memberValueDatatype="130" unbalanced="0"/>
    <cacheHierarchy uniqueName="[NPS_Data].[Disposition Folder Level 1]" caption="Disposition Folder Level 1" attribute="1" defaultMemberUniqueName="[NPS_Data].[Disposition Folder Level 1].[All]" allUniqueName="[NPS_Data].[Disposition Folder Level 1].[All]" dimensionUniqueName="[NPS_Data]" displayFolder="" count="2" memberValueDatatype="130" unbalanced="0"/>
    <cacheHierarchy uniqueName="[NPS_Data].[Disposition Folder Level 2]" caption="Disposition Folder Level 2" attribute="1" defaultMemberUniqueName="[NPS_Data].[Disposition Folder Level 2].[All]" allUniqueName="[NPS_Data].[Disposition Folder Level 2].[All]" dimensionUniqueName="[NPS_Data]" displayFolder="" count="2" memberValueDatatype="130" unbalanced="0"/>
    <cacheHierarchy uniqueName="[NPS_Data].[Phone]" caption="Phone" attribute="1" defaultMemberUniqueName="[NPS_Data].[Phone].[All]" allUniqueName="[NPS_Data].[Phone].[All]" dimensionUniqueName="[NPS_Data]" displayFolder="" count="2" memberValueDatatype="130" unbalanced="0"/>
    <cacheHierarchy uniqueName="[NPS_Data].[Email]" caption="Email" attribute="1" defaultMemberUniqueName="[NPS_Data].[Email].[All]" allUniqueName="[NPS_Data].[Email].[All]" dimensionUniqueName="[NPS_Data]" displayFolder="" count="2" memberValueDatatype="130" unbalanced="0"/>
    <cacheHierarchy uniqueName="[NPS_Data].[Ticket All Remarks]" caption="Ticket All Remarks" attribute="1" defaultMemberUniqueName="[NPS_Data].[Ticket All Remarks].[All]" allUniqueName="[NPS_Data].[Ticket All Remarks].[All]" dimensionUniqueName="[NPS_Data]" displayFolder="" count="2" memberValueDatatype="130" unbalanced="0"/>
    <cacheHierarchy uniqueName="[NPS_Data].[Program Name]" caption="Program Name" attribute="1" defaultMemberUniqueName="[NPS_Data].[Program Name].[All]" allUniqueName="[NPS_Data].[Program Name].[All]" dimensionUniqueName="[NPS_Data]" displayFolder="" count="2" memberValueDatatype="130" unbalanced="0">
      <fieldsUsage count="2">
        <fieldUsage x="-1"/>
        <fieldUsage x="1"/>
      </fieldsUsage>
    </cacheHierarchy>
    <cacheHierarchy uniqueName="[NPS_Data].[Issue 2 - NPS]" caption="Issue 2 - NPS" attribute="1" defaultMemberUniqueName="[NPS_Data].[Issue 2 - NPS].[All]" allUniqueName="[NPS_Data].[Issue 2 - NPS].[All]" dimensionUniqueName="[NPS_Data]" displayFolder="" count="2" memberValueDatatype="130" unbalanced="0">
      <fieldsUsage count="2">
        <fieldUsage x="-1"/>
        <fieldUsage x="0"/>
      </fieldsUsage>
    </cacheHierarchy>
    <cacheHierarchy uniqueName="[NPS_Data].[NPS Rating]" caption="NPS Rating" attribute="1" defaultMemberUniqueName="[NPS_Data].[NPS Rating].[All]" allUniqueName="[NPS_Data].[NPS Rating].[All]" dimensionUniqueName="[NPS_Data]" displayFolder="" count="2" memberValueDatatype="20" unbalanced="0"/>
    <cacheHierarchy uniqueName="[NPS_Data].[Status]" caption="Status" attribute="1" defaultMemberUniqueName="[NPS_Data].[Status].[All]" allUniqueName="[NPS_Data].[Status].[All]" dimensionUniqueName="[NPS_Data]" displayFolder="" count="2" memberValueDatatype="130" unbalanced="0"/>
    <cacheHierarchy uniqueName="[NPS_Data].[Sub Status]" caption="Sub Status" attribute="1" defaultMemberUniqueName="[NPS_Data].[Sub Status].[All]" allUniqueName="[NPS_Data].[Sub Status].[All]" dimensionUniqueName="[NPS_Data]" displayFolder="" count="2" memberValueDatatype="130" unbalanced="0"/>
    <cacheHierarchy uniqueName="[NPS_Data].[MissingFieldsFlag]" caption="MissingFieldsFlag" attribute="1" defaultMemberUniqueName="[NPS_Data].[MissingFieldsFlag].[All]" allUniqueName="[NPS_Data].[MissingFieldsFlag].[All]" dimensionUniqueName="[NPS_Data]" displayFolder="" count="2" memberValueDatatype="130" unbalanced="0"/>
    <cacheHierarchy uniqueName="[NPS_Data].[StatusLogicFlag]" caption="StatusLogicFlag" attribute="1" defaultMemberUniqueName="[NPS_Data].[StatusLogicFlag].[All]" allUniqueName="[NPS_Data].[StatusLogicFlag].[All]" dimensionUniqueName="[NPS_Data]" displayFolder="" count="2" memberValueDatatype="130" unbalanced="0"/>
    <cacheHierarchy uniqueName="[NPS_Data].[ResolutionErrorFlag]" caption="ResolutionErrorFlag" attribute="1" defaultMemberUniqueName="[NPS_Data].[ResolutionErrorFlag].[All]" allUniqueName="[NPS_Data].[ResolutionErrorFlag].[All]" dimensionUniqueName="[NPS_Data]" displayFolder="" count="2" memberValueDatatype="130" unbalanced="0"/>
    <cacheHierarchy uniqueName="[NPS_Data].[CleanRemark]" caption="CleanRemark" attribute="1" defaultMemberUniqueName="[NPS_Data].[CleanRemark].[All]" allUniqueName="[NPS_Data].[CleanRemark].[All]" dimensionUniqueName="[NPS_Data]" displayFolder="" count="2" memberValueDatatype="130" unbalanced="0"/>
    <cacheHierarchy uniqueName="[NPS_Data].[RemarkHash]" caption="RemarkHash" attribute="1" defaultMemberUniqueName="[NPS_Data].[RemarkHash].[All]" allUniqueName="[NPS_Data].[RemarkHash].[All]" dimensionUniqueName="[NPS_Data]" displayFolder="" count="2" memberValueDatatype="20" unbalanced="0"/>
    <cacheHierarchy uniqueName="[NPS_Data].[DuplicateTicketFlag]" caption="DuplicateTicketFlag" attribute="1" defaultMemberUniqueName="[NPS_Data].[DuplicateTicketFlag].[All]" allUniqueName="[NPS_Data].[DuplicateTicketFlag].[All]" dimensionUniqueName="[NPS_Data]" displayFolder="" count="2" memberValueDatatype="130" unbalanced="0"/>
    <cacheHierarchy uniqueName="[NPS_Data].[DuplicateRemarksFlag]" caption="DuplicateRemarksFlag" attribute="1" defaultMemberUniqueName="[NPS_Data].[DuplicateRemarksFlag].[All]" allUniqueName="[NPS_Data].[DuplicateRemarksFlag].[All]" dimensionUniqueName="[NPS_Data]" displayFolder="" count="2" memberValueDatatype="130" unbalanced="0"/>
    <cacheHierarchy uniqueName="[NPS_Data].[ResolutionHours]" caption="ResolutionHours" attribute="1" defaultMemberUniqueName="[NPS_Data].[ResolutionHours].[All]" allUniqueName="[NPS_Data].[ResolutionHours].[All]" dimensionUniqueName="[NPS_Data]" displayFolder="" count="2" memberValueDatatype="5" unbalanced="0"/>
    <cacheHierarchy uniqueName="[NPS_Data].[Week]" caption="Week" attribute="1" defaultMemberUniqueName="[NPS_Data].[Week].[All]" allUniqueName="[NPS_Data].[Week].[All]" dimensionUniqueName="[NPS_Data]" displayFolder="" count="2" memberValueDatatype="130" unbalanced="0"/>
    <cacheHierarchy uniqueName="[NPS_Data].[Month]" caption="Month" attribute="1" defaultMemberUniqueName="[NPS_Data].[Month].[All]" allUniqueName="[NPS_Data].[Month].[All]" dimensionUniqueName="[NPS_Data]" displayFolder="" count="2" memberValueDatatype="130" unbalanced="0"/>
    <cacheHierarchy uniqueName="[NPS_Data].[SLA_Breach]" caption="SLA_Breach" attribute="1" defaultMemberUniqueName="[NPS_Data].[SLA_Breach].[All]" allUniqueName="[NPS_Data].[SLA_Breach].[All]" dimensionUniqueName="[NPS_Data]" displayFolder="" count="2" memberValueDatatype="130" unbalanced="0"/>
    <cacheHierarchy uniqueName="[NPS_Data].[ResolvedFlag]" caption="ResolvedFlag" attribute="1" defaultMemberUniqueName="[NPS_Data].[ResolvedFlag].[All]" allUniqueName="[NPS_Data].[ResolvedFlag].[All]" dimensionUniqueName="[NPS_Data]" displayFolder="" count="2" memberValueDatatype="20" unbalanced="0"/>
    <cacheHierarchy uniqueName="[NPS_Data].[Weekday]" caption="Weekday" attribute="1" defaultMemberUniqueName="[NPS_Data].[Weekday].[All]" allUniqueName="[NPS_Data].[Weekday].[All]" dimensionUniqueName="[NPS_Data]" displayFolder="" count="2" memberValueDatatype="130" unbalanced="0"/>
    <cacheHierarchy uniqueName="[Measures].[__XL_Count NPS_Data]" caption="__XL_Count NPS_Data" measure="1" displayFolder="" measureGroup="NPS_Data" count="0" hidden="1"/>
    <cacheHierarchy uniqueName="[Measures].[__No measures defined]" caption="__No measures defined" measure="1" displayFolder="" count="0" hidden="1"/>
    <cacheHierarchy uniqueName="[Measures].[Sum of ResolutionHours]" caption="Sum of ResolutionHours" measure="1" displayFolder="" measureGroup="NPS_Data" count="0" hidden="1">
      <extLst>
        <ext xmlns:x15="http://schemas.microsoft.com/office/spreadsheetml/2010/11/main" uri="{B97F6D7D-B522-45F9-BDA1-12C45D357490}">
          <x15:cacheHierarchy aggregatedColumn="26"/>
        </ext>
      </extLst>
    </cacheHierarchy>
    <cacheHierarchy uniqueName="[Measures].[Sum of ResolvedFlag]" caption="Sum of ResolvedFlag" measure="1" displayFolder="" measureGroup="NPS_Data" count="0" hidden="1">
      <extLst>
        <ext xmlns:x15="http://schemas.microsoft.com/office/spreadsheetml/2010/11/main" uri="{B97F6D7D-B522-45F9-BDA1-12C45D357490}">
          <x15:cacheHierarchy aggregatedColumn="30"/>
        </ext>
      </extLst>
    </cacheHierarchy>
    <cacheHierarchy uniqueName="[Measures].[Count of Ticket No]" caption="Count of Ticket No" measure="1" displayFolder="" measureGroup="NPS_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LA_Breach]" caption="Count of SLA_Breach" measure="1" displayFolder="" measureGroup="NPS_Data" count="0" hidden="1">
      <extLst>
        <ext xmlns:x15="http://schemas.microsoft.com/office/spreadsheetml/2010/11/main" uri="{B97F6D7D-B522-45F9-BDA1-12C45D357490}">
          <x15:cacheHierarchy aggregatedColumn="29"/>
        </ext>
      </extLst>
    </cacheHierarchy>
    <cacheHierarchy uniqueName="[Measures].[Average of ResolutionHours]" caption="Average of ResolutionHours" measure="1" displayFolder="" measureGroup="NPS_Data" count="0" hidden="1">
      <extLst>
        <ext xmlns:x15="http://schemas.microsoft.com/office/spreadsheetml/2010/11/main" uri="{B97F6D7D-B522-45F9-BDA1-12C45D357490}">
          <x15:cacheHierarchy aggregatedColumn="26"/>
        </ext>
      </extLst>
    </cacheHierarchy>
    <cacheHierarchy uniqueName="[Measures].[Max of ResolutionHours]" caption="Max of ResolutionHours" measure="1" displayFolder="" measureGroup="NPS_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NPS_Data" uniqueName="[NPS_Data]" caption="NPS_Data"/>
  </dimensions>
  <measureGroups count="1">
    <measureGroup name="NPS_Data" caption="NP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830091666663" backgroundQuery="1" createdVersion="3" refreshedVersion="8" minRefreshableVersion="3" recordCount="0" supportSubquery="1" supportAdvancedDrill="1" xr:uid="{EB7898F6-59CB-4BC8-9097-5C2881D59834}">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NPS_Data].[Ticket No]" caption="Ticket No" attribute="1" defaultMemberUniqueName="[NPS_Data].[Ticket No].[All]" allUniqueName="[NPS_Data].[Ticket No].[All]" dimensionUniqueName="[NPS_Data]" displayFolder="" count="0" memberValueDatatype="130" unbalanced="0"/>
    <cacheHierarchy uniqueName="[NPS_Data].[Created Date]" caption="Created Date" attribute="1" defaultMemberUniqueName="[NPS_Data].[Created Date].[All]" allUniqueName="[NPS_Data].[Created Date].[All]" dimensionUniqueName="[NPS_Data]" displayFolder="" count="0" memberValueDatatype="130" unbalanced="0"/>
    <cacheHierarchy uniqueName="[NPS_Data].[Created Time]" caption="Created Time" attribute="1" defaultMemberUniqueName="[NPS_Data].[Created Time].[All]" allUniqueName="[NPS_Data].[Created Time].[All]" dimensionUniqueName="[NPS_Data]" displayFolder="" count="0" memberValueDatatype="130" unbalanced="0"/>
    <cacheHierarchy uniqueName="[NPS_Data].[CreatedDateTime]" caption="CreatedDateTime" attribute="1" time="1" defaultMemberUniqueName="[NPS_Data].[CreatedDateTime].[All]" allUniqueName="[NPS_Data].[CreatedDateTime].[All]" dimensionUniqueName="[NPS_Data]" displayFolder="" count="0" memberValueDatatype="7" unbalanced="0"/>
    <cacheHierarchy uniqueName="[NPS_Data].[Assigned To]" caption="Assigned To" attribute="1" defaultMemberUniqueName="[NPS_Data].[Assigned To].[All]" allUniqueName="[NPS_Data].[Assigned To].[All]" dimensionUniqueName="[NPS_Data]" displayFolder="" count="0" memberValueDatatype="130" unbalanced="0"/>
    <cacheHierarchy uniqueName="[NPS_Data].[Resolved Date]" caption="Resolved Date" attribute="1" defaultMemberUniqueName="[NPS_Data].[Resolved Date].[All]" allUniqueName="[NPS_Data].[Resolved Date].[All]" dimensionUniqueName="[NPS_Data]" displayFolder="" count="0" memberValueDatatype="130" unbalanced="0"/>
    <cacheHierarchy uniqueName="[NPS_Data].[Resolved Time]" caption="Resolved Time" attribute="1" defaultMemberUniqueName="[NPS_Data].[Resolved Time].[All]" allUniqueName="[NPS_Data].[Resolved Time].[All]" dimensionUniqueName="[NPS_Data]" displayFolder="" count="0" memberValueDatatype="130" unbalanced="0"/>
    <cacheHierarchy uniqueName="[NPS_Data].[ResolvedDateTime]" caption="ResolvedDateTime" attribute="1" defaultMemberUniqueName="[NPS_Data].[ResolvedDateTime].[All]" allUniqueName="[NPS_Data].[ResolvedDateTime].[All]" dimensionUniqueName="[NPS_Data]" displayFolder="" count="0" memberValueDatatype="130" unbalanced="0"/>
    <cacheHierarchy uniqueName="[NPS_Data].[Landing Folder]" caption="Landing Folder" attribute="1" defaultMemberUniqueName="[NPS_Data].[Landing Folder].[All]" allUniqueName="[NPS_Data].[Landing Folder].[All]" dimensionUniqueName="[NPS_Data]" displayFolder="" count="0" memberValueDatatype="130" unbalanced="0"/>
    <cacheHierarchy uniqueName="[NPS_Data].[Disposition Folder Level 1]" caption="Disposition Folder Level 1" attribute="1" defaultMemberUniqueName="[NPS_Data].[Disposition Folder Level 1].[All]" allUniqueName="[NPS_Data].[Disposition Folder Level 1].[All]" dimensionUniqueName="[NPS_Data]" displayFolder="" count="0" memberValueDatatype="130" unbalanced="0"/>
    <cacheHierarchy uniqueName="[NPS_Data].[Disposition Folder Level 2]" caption="Disposition Folder Level 2" attribute="1" defaultMemberUniqueName="[NPS_Data].[Disposition Folder Level 2].[All]" allUniqueName="[NPS_Data].[Disposition Folder Level 2].[All]" dimensionUniqueName="[NPS_Data]" displayFolder="" count="0" memberValueDatatype="130" unbalanced="0"/>
    <cacheHierarchy uniqueName="[NPS_Data].[Phone]" caption="Phone" attribute="1" defaultMemberUniqueName="[NPS_Data].[Phone].[All]" allUniqueName="[NPS_Data].[Phone].[All]" dimensionUniqueName="[NPS_Data]" displayFolder="" count="0" memberValueDatatype="130" unbalanced="0"/>
    <cacheHierarchy uniqueName="[NPS_Data].[Email]" caption="Email" attribute="1" defaultMemberUniqueName="[NPS_Data].[Email].[All]" allUniqueName="[NPS_Data].[Email].[All]" dimensionUniqueName="[NPS_Data]" displayFolder="" count="0" memberValueDatatype="130" unbalanced="0"/>
    <cacheHierarchy uniqueName="[NPS_Data].[Ticket All Remarks]" caption="Ticket All Remarks" attribute="1" defaultMemberUniqueName="[NPS_Data].[Ticket All Remarks].[All]" allUniqueName="[NPS_Data].[Ticket All Remarks].[All]" dimensionUniqueName="[NPS_Data]" displayFolder="" count="0" memberValueDatatype="130" unbalanced="0"/>
    <cacheHierarchy uniqueName="[NPS_Data].[Program Name]" caption="Program Name" attribute="1" defaultMemberUniqueName="[NPS_Data].[Program Name].[All]" allUniqueName="[NPS_Data].[Program Name].[All]" dimensionUniqueName="[NPS_Data]" displayFolder="" count="2" memberValueDatatype="130" unbalanced="0"/>
    <cacheHierarchy uniqueName="[NPS_Data].[Issue 2 - NPS]" caption="Issue 2 - NPS" attribute="1" defaultMemberUniqueName="[NPS_Data].[Issue 2 - NPS].[All]" allUniqueName="[NPS_Data].[Issue 2 - NPS].[All]" dimensionUniqueName="[NPS_Data]" displayFolder="" count="0" memberValueDatatype="130" unbalanced="0"/>
    <cacheHierarchy uniqueName="[NPS_Data].[NPS Rating]" caption="NPS Rating" attribute="1" defaultMemberUniqueName="[NPS_Data].[NPS Rating].[All]" allUniqueName="[NPS_Data].[NPS Rating].[All]" dimensionUniqueName="[NPS_Data]" displayFolder="" count="0" memberValueDatatype="20" unbalanced="0"/>
    <cacheHierarchy uniqueName="[NPS_Data].[Status]" caption="Status" attribute="1" defaultMemberUniqueName="[NPS_Data].[Status].[All]" allUniqueName="[NPS_Data].[Status].[All]" dimensionUniqueName="[NPS_Data]" displayFolder="" count="0" memberValueDatatype="130" unbalanced="0"/>
    <cacheHierarchy uniqueName="[NPS_Data].[Sub Status]" caption="Sub Status" attribute="1" defaultMemberUniqueName="[NPS_Data].[Sub Status].[All]" allUniqueName="[NPS_Data].[Sub Status].[All]" dimensionUniqueName="[NPS_Data]" displayFolder="" count="0" memberValueDatatype="130" unbalanced="0"/>
    <cacheHierarchy uniqueName="[NPS_Data].[MissingFieldsFlag]" caption="MissingFieldsFlag" attribute="1" defaultMemberUniqueName="[NPS_Data].[MissingFieldsFlag].[All]" allUniqueName="[NPS_Data].[MissingFieldsFlag].[All]" dimensionUniqueName="[NPS_Data]" displayFolder="" count="0" memberValueDatatype="130" unbalanced="0"/>
    <cacheHierarchy uniqueName="[NPS_Data].[StatusLogicFlag]" caption="StatusLogicFlag" attribute="1" defaultMemberUniqueName="[NPS_Data].[StatusLogicFlag].[All]" allUniqueName="[NPS_Data].[StatusLogicFlag].[All]" dimensionUniqueName="[NPS_Data]" displayFolder="" count="0" memberValueDatatype="130" unbalanced="0"/>
    <cacheHierarchy uniqueName="[NPS_Data].[ResolutionErrorFlag]" caption="ResolutionErrorFlag" attribute="1" defaultMemberUniqueName="[NPS_Data].[ResolutionErrorFlag].[All]" allUniqueName="[NPS_Data].[ResolutionErrorFlag].[All]" dimensionUniqueName="[NPS_Data]" displayFolder="" count="0" memberValueDatatype="130" unbalanced="0"/>
    <cacheHierarchy uniqueName="[NPS_Data].[CleanRemark]" caption="CleanRemark" attribute="1" defaultMemberUniqueName="[NPS_Data].[CleanRemark].[All]" allUniqueName="[NPS_Data].[CleanRemark].[All]" dimensionUniqueName="[NPS_Data]" displayFolder="" count="0" memberValueDatatype="130" unbalanced="0"/>
    <cacheHierarchy uniqueName="[NPS_Data].[RemarkHash]" caption="RemarkHash" attribute="1" defaultMemberUniqueName="[NPS_Data].[RemarkHash].[All]" allUniqueName="[NPS_Data].[RemarkHash].[All]" dimensionUniqueName="[NPS_Data]" displayFolder="" count="0" memberValueDatatype="20" unbalanced="0"/>
    <cacheHierarchy uniqueName="[NPS_Data].[DuplicateTicketFlag]" caption="DuplicateTicketFlag" attribute="1" defaultMemberUniqueName="[NPS_Data].[DuplicateTicketFlag].[All]" allUniqueName="[NPS_Data].[DuplicateTicketFlag].[All]" dimensionUniqueName="[NPS_Data]" displayFolder="" count="0" memberValueDatatype="130" unbalanced="0"/>
    <cacheHierarchy uniqueName="[NPS_Data].[DuplicateRemarksFlag]" caption="DuplicateRemarksFlag" attribute="1" defaultMemberUniqueName="[NPS_Data].[DuplicateRemarksFlag].[All]" allUniqueName="[NPS_Data].[DuplicateRemarksFlag].[All]" dimensionUniqueName="[NPS_Data]" displayFolder="" count="0" memberValueDatatype="130" unbalanced="0"/>
    <cacheHierarchy uniqueName="[NPS_Data].[ResolutionHours]" caption="ResolutionHours" attribute="1" defaultMemberUniqueName="[NPS_Data].[ResolutionHours].[All]" allUniqueName="[NPS_Data].[ResolutionHours].[All]" dimensionUniqueName="[NPS_Data]" displayFolder="" count="0" memberValueDatatype="5" unbalanced="0"/>
    <cacheHierarchy uniqueName="[NPS_Data].[Week]" caption="Week" attribute="1" defaultMemberUniqueName="[NPS_Data].[Week].[All]" allUniqueName="[NPS_Data].[Week].[All]" dimensionUniqueName="[NPS_Data]" displayFolder="" count="0" memberValueDatatype="130" unbalanced="0"/>
    <cacheHierarchy uniqueName="[NPS_Data].[Month]" caption="Month" attribute="1" defaultMemberUniqueName="[NPS_Data].[Month].[All]" allUniqueName="[NPS_Data].[Month].[All]" dimensionUniqueName="[NPS_Data]" displayFolder="" count="0" memberValueDatatype="130" unbalanced="0"/>
    <cacheHierarchy uniqueName="[NPS_Data].[SLA_Breach]" caption="SLA_Breach" attribute="1" defaultMemberUniqueName="[NPS_Data].[SLA_Breach].[All]" allUniqueName="[NPS_Data].[SLA_Breach].[All]" dimensionUniqueName="[NPS_Data]" displayFolder="" count="0" memberValueDatatype="130" unbalanced="0"/>
    <cacheHierarchy uniqueName="[NPS_Data].[ResolvedFlag]" caption="ResolvedFlag" attribute="1" defaultMemberUniqueName="[NPS_Data].[ResolvedFlag].[All]" allUniqueName="[NPS_Data].[ResolvedFlag].[All]" dimensionUniqueName="[NPS_Data]" displayFolder="" count="0" memberValueDatatype="20" unbalanced="0"/>
    <cacheHierarchy uniqueName="[NPS_Data].[Weekday]" caption="Weekday" attribute="1" defaultMemberUniqueName="[NPS_Data].[Weekday].[All]" allUniqueName="[NPS_Data].[Weekday].[All]" dimensionUniqueName="[NPS_Data]" displayFolder="" count="0" memberValueDatatype="130" unbalanced="0"/>
    <cacheHierarchy uniqueName="[Measures].[__XL_Count NPS_Data]" caption="__XL_Count NPS_Data" measure="1" displayFolder="" measureGroup="NPS_Data" count="0" hidden="1"/>
    <cacheHierarchy uniqueName="[Measures].[__No measures defined]" caption="__No measures defined" measure="1" displayFolder="" count="0" hidden="1"/>
    <cacheHierarchy uniqueName="[Measures].[Sum of ResolutionHours]" caption="Sum of ResolutionHours" measure="1" displayFolder="" measureGroup="NPS_Data" count="0" hidden="1">
      <extLst>
        <ext xmlns:x15="http://schemas.microsoft.com/office/spreadsheetml/2010/11/main" uri="{B97F6D7D-B522-45F9-BDA1-12C45D357490}">
          <x15:cacheHierarchy aggregatedColumn="26"/>
        </ext>
      </extLst>
    </cacheHierarchy>
    <cacheHierarchy uniqueName="[Measures].[Sum of ResolvedFlag]" caption="Sum of ResolvedFlag" measure="1" displayFolder="" measureGroup="NPS_Data" count="0" hidden="1">
      <extLst>
        <ext xmlns:x15="http://schemas.microsoft.com/office/spreadsheetml/2010/11/main" uri="{B97F6D7D-B522-45F9-BDA1-12C45D357490}">
          <x15:cacheHierarchy aggregatedColumn="30"/>
        </ext>
      </extLst>
    </cacheHierarchy>
    <cacheHierarchy uniqueName="[Measures].[Count of Ticket No]" caption="Count of Ticket No" measure="1" displayFolder="" measureGroup="NPS_Data" count="0" hidden="1">
      <extLst>
        <ext xmlns:x15="http://schemas.microsoft.com/office/spreadsheetml/2010/11/main" uri="{B97F6D7D-B522-45F9-BDA1-12C45D357490}">
          <x15:cacheHierarchy aggregatedColumn="0"/>
        </ext>
      </extLst>
    </cacheHierarchy>
    <cacheHierarchy uniqueName="[Measures].[Count of SLA_Breach]" caption="Count of SLA_Breach" measure="1" displayFolder="" measureGroup="NPS_Data" count="0" hidden="1">
      <extLst>
        <ext xmlns:x15="http://schemas.microsoft.com/office/spreadsheetml/2010/11/main" uri="{B97F6D7D-B522-45F9-BDA1-12C45D357490}">
          <x15:cacheHierarchy aggregatedColumn="29"/>
        </ext>
      </extLst>
    </cacheHierarchy>
    <cacheHierarchy uniqueName="[Measures].[Average of ResolutionHours]" caption="Average of ResolutionHours" measure="1" displayFolder="" measureGroup="NPS_Data" count="0" hidden="1">
      <extLst>
        <ext xmlns:x15="http://schemas.microsoft.com/office/spreadsheetml/2010/11/main" uri="{B97F6D7D-B522-45F9-BDA1-12C45D357490}">
          <x15:cacheHierarchy aggregatedColumn="26"/>
        </ext>
      </extLst>
    </cacheHierarchy>
    <cacheHierarchy uniqueName="[Measures].[Max of ResolutionHours]" caption="Max of ResolutionHours" measure="1" displayFolder="" measureGroup="NPS_Data"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36006715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5">
  <r>
    <s v="75591735734"/>
    <s v="2025-08-23"/>
    <s v="18:16:02"/>
    <d v="2025-08-23T18:16:02"/>
    <s v="Mike Chen"/>
    <s v="2025-08-30"/>
    <s v="17:21:01"/>
    <d v="2025-08-30T17:21:01"/>
    <s v="Counselling Team - NPS"/>
    <s v="Counselling Team - NPS"/>
    <s v="Tech (NPS)"/>
    <s v="9562254028"/>
    <s v="learner001@example.com"/>
    <s v="No code review feedback provided for assignments. Submitting working solutions but don't know if following best practices or industry standards. || Resolution: Introduced mandatory code review sessions with senior developers"/>
    <s v="Academy"/>
    <x v="0"/>
    <n v="6"/>
    <s v="Complete"/>
    <s v="Solved"/>
    <s v="OK"/>
    <s v="OK"/>
    <s v="OK"/>
    <s v="No code review feedback provided for assignments. Submitting working solutions but don't know if following best practices or industry standards. || Resolution: Introduced mandatory code review sessions with senior developers"/>
    <n v="21754"/>
    <s v="OK"/>
    <s v="RepeatedRemark"/>
    <n v="167.08305555564584"/>
    <s v="2025-34"/>
    <s v="2025-08"/>
    <s v="Breach"/>
    <b v="1"/>
  </r>
  <r>
    <s v="75958260221"/>
    <s v="2025-09-02"/>
    <s v="17:43:46"/>
    <d v="2025-09-02T17:43:46"/>
    <s v="David Wilson"/>
    <s v="2025-09-12"/>
    <s v="12:16:02"/>
    <d v="2025-09-12T12:16:02"/>
    <s v="Counselling Team - NPS"/>
    <s v="Counselling Team - NPS"/>
    <s v="Program &amp; Classroom (NPS)"/>
    <s v="8564319318"/>
    <s v="learner002@example.com"/>
    <s v="No code review feedback provided for assignments. Submitting working solutions but don't know if following best practices or industry standards. || Resolution: Introduced mandatory code review sessions with senior developers"/>
    <s v="DSML"/>
    <x v="0"/>
    <n v="3"/>
    <s v="Complete"/>
    <s v="Solved"/>
    <s v="OK"/>
    <s v="OK"/>
    <s v="OK"/>
    <s v="No code review feedback provided for assignments. Submitting working solutions but don't know if following best practices or industry standards. || Resolution: Introduced mandatory code review sessions with senior developers"/>
    <n v="21754"/>
    <s v="OK"/>
    <s v="RepeatedRemark"/>
    <n v="234.53777777776122"/>
    <s v="2025-36"/>
    <s v="2025-09"/>
    <s v="Breach"/>
    <b v="1"/>
  </r>
  <r>
    <s v="75838508549"/>
    <s v="2025-09-12"/>
    <s v="14:25:44"/>
    <d v="2025-09-12T14:25:44"/>
    <s v="Lisa Rodriguez"/>
    <m/>
    <m/>
    <s v=""/>
    <s v="Counselling Team - NPS"/>
    <s v="Counselling Team - NPS"/>
    <s v="Tech (NPS)"/>
    <s v="9381183483"/>
    <s v="learner003@example.com"/>
    <s v="Assignment datasets have data quality issues but no guidance on how to handle missing values, outliers, or inconsistent formats professionally. || Resolution: Created data cleaning tutorial series and best practices documentation"/>
    <s v="DevOps"/>
    <x v="0"/>
    <n v="6"/>
    <s v="Pending"/>
    <s v="In Progress"/>
    <s v="OK"/>
    <s v="OK"/>
    <s v="OK"/>
    <s v="Assignment datasets have data quality issues but no guidance on how to handle missing values, outliers, or inconsistent formats professionally. || Resolution: Created data cleaning tutorial series and best practices documentation"/>
    <n v="22151"/>
    <s v="OK"/>
    <s v="RepeatedRemark"/>
    <e v="#N/A"/>
    <s v="2025-37"/>
    <s v="2025-09"/>
    <s v="Open"/>
    <b v="0"/>
  </r>
  <r>
    <s v="75988343096"/>
    <s v="2025-09-13"/>
    <s v="09:19:18"/>
    <d v="2025-09-13T09:19:18"/>
    <s v="David Wilson"/>
    <s v="2025-09-16"/>
    <s v="18:36:19"/>
    <d v="2025-09-16T18:36:19"/>
    <s v="Counselling Team - NPS"/>
    <s v="Counselling Team - NPS"/>
    <s v="Others (NPS)"/>
    <s v="8846355528"/>
    <s v="learner004@example.com"/>
    <s v="Live sessions scheduled during US client calls for IT professionals. 2-6 PM IST overlaps with standup meetings and client presentations. Need flexible timing. || Resolution: Added recorded session options and weekend makeup classes"/>
    <s v="DSML"/>
    <x v="1"/>
    <n v="1"/>
    <s v="Complete"/>
    <s v="Solved"/>
    <s v="OK"/>
    <s v="OK"/>
    <s v="OK"/>
    <s v="Live sessions scheduled during US client calls for IT professionals. 2-6 PM IST overlaps with standup meetings and client presentations. Need flexible timing. || Resolution: Added recorded session options and weekend makeup classes"/>
    <n v="21689"/>
    <s v="OK"/>
    <s v="OK"/>
    <n v="81.283611111226492"/>
    <s v="2025-37"/>
    <s v="2025-09"/>
    <s v="Breach"/>
    <b v="1"/>
  </r>
  <r>
    <s v="75500273738"/>
    <s v="2025-09-13"/>
    <s v="12:43:19"/>
    <d v="2025-09-13T12:43:19"/>
    <s v="David Wilson"/>
    <s v="2025-09-21"/>
    <s v="11:42:05"/>
    <d v="2025-09-21T11:42:05"/>
    <s v="Counselling Team - NPS"/>
    <s v="Counselling Team - NPS"/>
    <s v="Tech (NPS)"/>
    <s v="7855256552"/>
    <s v="learner005@example.com"/>
    <s v="Told course would take 6 months but curriculum actually requires 10+ months for completion. Time commitment significantly underestimated. || Resolution: Updated course duration estimates and provided realistic timeline planning"/>
    <s v="DevOps"/>
    <x v="2"/>
    <n v="8"/>
    <s v="Complete"/>
    <s v="Solved"/>
    <s v="OK"/>
    <s v="OK"/>
    <s v="OK"/>
    <s v="Told course would take 6 months but curriculum actually requires 10+ months for completion. Time commitment significantly underestimated. || Resolution: Updated course duration estimates and provided realistic timeline planning"/>
    <n v="21945"/>
    <s v="OK"/>
    <s v="RepeatedRemark"/>
    <n v="190.97944444441237"/>
    <s v="2025-37"/>
    <s v="2025-09"/>
    <s v="Breach"/>
    <b v="1"/>
  </r>
  <r>
    <s v="75930833445"/>
    <s v="2025-08-30"/>
    <s v="15:15:09"/>
    <d v="2025-08-30T15:15:09"/>
    <s v="Sarah Johnson"/>
    <s v="2025-09-10"/>
    <s v="18:12:45"/>
    <d v="2025-09-10T18:12:45"/>
    <s v="Counselling Team - NPS"/>
    <s v="Counselling Team - NPS"/>
    <s v="Others (NPS)"/>
    <s v="7457788949"/>
    <s v="learner006@example.com"/>
    <s v="Morning Academy Jul25 Intermediate (9 AM - 12 PM) conflicts with Infosys office hours. Requested evening transfer 5 times over 2 months but no response from counseling team. || Resolution: Immediately transferred to 7-10 PM evening Academy Jul25 Intermediate with same instructor"/>
    <s v="DSML"/>
    <x v="1"/>
    <n v="2"/>
    <s v="Complete"/>
    <s v="Solved"/>
    <s v="OK"/>
    <s v="OK"/>
    <s v="OK"/>
    <s v="Morning Academy Jul25 Intermediate (9 AM - 12 PM) conflicts with Infosys office hours. Requested evening transfer 5 times over 2 months but no response from counseling team. || Resolution: Immediately transferred to 7-10 PM evening Academy Jul25 Intermediate with same instructor"/>
    <n v="25434"/>
    <s v="OK"/>
    <s v="OK"/>
    <n v="266.96000000007916"/>
    <s v="2025-35"/>
    <s v="2025-08"/>
    <s v="Breach"/>
    <b v="1"/>
  </r>
  <r>
    <s v="75543171768"/>
    <s v="2025-09-03"/>
    <s v="16:42:33"/>
    <d v="2025-09-03T16:42:33"/>
    <s v="Rohit Gupta"/>
    <s v="2025-09-12"/>
    <s v="12:58:54"/>
    <d v="2025-09-12T12:58:54"/>
    <s v="Counselling Team - NPS"/>
    <s v="Counselling Team - NPS"/>
    <s v="Others (NPS)"/>
    <s v="9557448229"/>
    <s v="learner007@example.com"/>
    <s v="Told course would take 6 months but curriculum actually requires 10+ months for completion. Time commitment significantly underestimated. || Resolution: Updated course duration estimates and provided realistic timeline planning"/>
    <s v="Academy"/>
    <x v="2"/>
    <n v="9"/>
    <s v="Complete"/>
    <s v="Solved"/>
    <s v="OK"/>
    <s v="OK"/>
    <s v="OK"/>
    <s v="Told course would take 6 months but curriculum actually requires 10+ months for completion. Time commitment significantly underestimated. || Resolution: Updated course duration estimates and provided realistic timeline planning"/>
    <n v="21945"/>
    <s v="OK"/>
    <s v="RepeatedRemark"/>
    <n v="212.27250000002095"/>
    <s v="2025-36"/>
    <s v="2025-09"/>
    <s v="Breach"/>
    <b v="1"/>
  </r>
  <r>
    <s v="75570894498"/>
    <s v="2025-08-28"/>
    <s v="20:55:30"/>
    <d v="2025-08-28T20:55:30"/>
    <s v="Carlos Martinez"/>
    <m/>
    <m/>
    <s v=""/>
    <s v="Counselling Team - NPS"/>
    <s v="Counselling Team - NPS"/>
    <s v="Placement (NPS)"/>
    <s v="8113219231"/>
    <s v="learner008@example.com"/>
    <s v="Considering career break for higher studies (MS abroad). Need advice on timing, university selection, and maintaining professional network during studies. || Resolution: Provided comprehensive higher education guidance and alumni connections"/>
    <s v="DSML"/>
    <x v="3"/>
    <n v="3"/>
    <s v="Pending"/>
    <s v="In Progress"/>
    <s v="OK"/>
    <s v="OK"/>
    <s v="OK"/>
    <s v="Considering career break for higher studies (MS abroad). Need advice on timing, university selection, and maintaining professional network during studies. || Resolution: Provided comprehensive higher education guidance and alumni connections"/>
    <n v="23075"/>
    <s v="OK"/>
    <s v="RepeatedRemark"/>
    <e v="#N/A"/>
    <s v="2025-35"/>
    <s v="2025-08"/>
    <s v="Open"/>
    <b v="0"/>
  </r>
  <r>
    <s v="75691751878"/>
    <s v="2025-09-01"/>
    <s v="14:20:57"/>
    <d v="2025-09-01T14:20:57"/>
    <s v="Rohit Gupta"/>
    <s v="2025-09-06"/>
    <s v="16:04:45"/>
    <d v="2025-09-06T16:04:45"/>
    <s v="Counselling Team - NPS"/>
    <s v="Counselling Team - NPS"/>
    <s v="Placement (NPS)"/>
    <s v="7346078411"/>
    <s v="learner009@example.com"/>
    <s v="Sales promised 100% job guarantee within 6 months but placement team says no such commitment exists. Feel misled about course outcomes. || Resolution: Clarified placement support terms and provided additional career assistance"/>
    <s v="DevOps"/>
    <x v="2"/>
    <n v="4"/>
    <s v="Complete"/>
    <s v="Solved"/>
    <s v="OK"/>
    <s v="OK"/>
    <s v="OK"/>
    <s v="Sales promised 100% job guarantee within 6 months but placement team says no such commitment exists. Feel misled about course outcomes. || Resolution: Clarified placement support terms and provided additional career assistance"/>
    <n v="21446"/>
    <s v="OK"/>
    <s v="RepeatedRemark"/>
    <n v="121.72999999998137"/>
    <s v="2025-36"/>
    <s v="2025-09"/>
    <s v="Breach"/>
    <b v="1"/>
  </r>
  <r>
    <s v="75846434187"/>
    <s v="2025-09-15"/>
    <s v="09:13:53"/>
    <d v="2025-09-15T09:13:53"/>
    <s v="Jessica Kim"/>
    <s v="2025-09-22"/>
    <s v="15:21:34"/>
    <d v="2025-09-22T15:21:34"/>
    <s v="Counselling Team - NPS"/>
    <s v="Counselling Team - NPS"/>
    <s v="Others (NPS)"/>
    <s v="8672790155"/>
    <s v="learner010@example.com"/>
    <s v="DevOps AIML Jul25 has 220+ students making doubt sessions chaotic. Individual questions take 15+ minutes to address. Class extends to 4+ hours regularly. || Resolution: Split into 2 parallel AIML Jul25es and assigned dedicated TA support"/>
    <s v="DSML"/>
    <x v="1"/>
    <n v="6"/>
    <s v="Complete"/>
    <s v="Solved"/>
    <s v="OK"/>
    <s v="OK"/>
    <s v="OK"/>
    <s v="DevOps AIML Jul25 has 220+ students making doubt sessions chaotic. Individual questions take 15+ minutes to address. Class extends to 4+ hours regularly. || Resolution: Split into 2 parallel AIML Jul25es and assigned dedicated TA support"/>
    <n v="21377"/>
    <s v="OK"/>
    <s v="OK"/>
    <n v="174.12805555562954"/>
    <s v="2025-38"/>
    <s v="2025-09"/>
    <s v="Breach"/>
    <b v="1"/>
  </r>
  <r>
    <s v="75977909930"/>
    <s v="2025-08-01"/>
    <s v="20:47:34"/>
    <d v="2025-08-01T20:47:34"/>
    <s v="Sneha Reddy"/>
    <m/>
    <m/>
    <s v=""/>
    <s v="Counselling Team - NPS"/>
    <s v="Counselling Team - NPS"/>
    <s v="Others (NPS)"/>
    <s v="7947206476"/>
    <s v="learner011@example.com"/>
    <s v="Sales promised 100% job guarantee within 6 months but placement team says no such commitment exists. Feel misled about course outcomes. || Resolution: Clarified placement support terms and provided additional career assistance"/>
    <s v="DSML"/>
    <x v="2"/>
    <n v="8"/>
    <s v="Pending"/>
    <s v="Awaiting Action - Learner"/>
    <s v="OK"/>
    <s v="OK"/>
    <s v="OK"/>
    <s v="Sales promised 100% job guarantee within 6 months but placement team says no such commitment exists. Feel misled about course outcomes. || Resolution: Clarified placement support terms and provided additional career assistance"/>
    <n v="21446"/>
    <s v="OK"/>
    <s v="RepeatedRemark"/>
    <e v="#N/A"/>
    <s v="2025-31"/>
    <s v="2025-08"/>
    <s v="Open"/>
    <b v="0"/>
  </r>
  <r>
    <s v="75537039296"/>
    <s v="2025-08-02"/>
    <s v="18:34:01"/>
    <d v="2025-08-02T18:34:01"/>
    <s v="Jessica Kim"/>
    <s v="2025-08-13"/>
    <s v="15:46:10"/>
    <d v="2025-08-13T15:46:10"/>
    <s v="Counselling Team - NPS"/>
    <s v="Counselling Team - NPS"/>
    <s v="Tech (NPS)"/>
    <s v="9542160120"/>
    <s v="learner012@example.com"/>
    <s v="Multiple TAs provide conflicting solutions for same problem. Creates confusion about best practices and correct approach for implementation. || Resolution: Implemented TA training program and standardized solution guidelines"/>
    <s v="DSML"/>
    <x v="4"/>
    <n v="1"/>
    <s v="Complete"/>
    <s v="Solved"/>
    <s v="OK"/>
    <s v="OK"/>
    <s v="OK"/>
    <s v="Multiple TAs provide conflicting solutions for same problem. Creates confusion about best practices and correct approach for implementation. || Resolution: Implemented TA training program and standardized solution guidelines"/>
    <n v="21698"/>
    <s v="OK"/>
    <s v="RepeatedRemark"/>
    <n v="261.20250000001397"/>
    <s v="2025-31"/>
    <s v="2025-08"/>
    <s v="Breach"/>
    <b v="1"/>
  </r>
  <r>
    <s v="75679340713"/>
    <s v="2025-08-09"/>
    <s v="15:20:13"/>
    <d v="2025-08-09T15:20:13"/>
    <s v="Carlos Martinez"/>
    <m/>
    <m/>
    <s v=""/>
    <s v="Counselling Team - NPS"/>
    <s v="Counselling Team - NPS"/>
    <s v="Placement (NPS)"/>
    <s v="8403792057"/>
    <s v="learner013@example.com"/>
    <s v="Placement eligibility criteria require 70%+ in graduation but scored 68% due to family financial crisis during college. Seems unfair exclusion. || Resolution: Reviewed eligibility criteria and created exception process for genuine hardship cases"/>
    <s v="Academy"/>
    <x v="5"/>
    <n v="7"/>
    <s v="Pending"/>
    <s v="Awaiting Action - Scaler"/>
    <s v="OK"/>
    <s v="OK"/>
    <s v="OK"/>
    <s v="Placement eligibility criteria require 70%+ in graduation but scored 68% due to family financial crisis during college. Seems unfair exclusion. || Resolution: Reviewed eligibility criteria and created exception process for genuine hardship cases"/>
    <n v="23171"/>
    <s v="OK"/>
    <s v="RepeatedRemark"/>
    <e v="#N/A"/>
    <s v="2025-32"/>
    <s v="2025-08"/>
    <s v="Open"/>
    <b v="0"/>
  </r>
  <r>
    <s v="75979196799"/>
    <s v="2025-08-17"/>
    <s v="09:22:14"/>
    <d v="2025-08-17T09:22:14"/>
    <m/>
    <m/>
    <m/>
    <s v=""/>
    <s v="Counselling Team - NPS"/>
    <s v="Counselling Team - NPS"/>
    <s v="Placement (NPS)"/>
    <s v="9799264931"/>
    <s v="learner014@example.com"/>
    <s v="Interested in international opportunities but confused about visa processes, skill requirements, and cultural preparation for US/Canada markets. || Resolution: Connected with professionals who successfully relocated internationally"/>
    <s v="Academy"/>
    <x v="3"/>
    <n v="7"/>
    <s v="Pending"/>
    <s v="Awaiting Action - Learner"/>
    <s v="Missing"/>
    <s v="OK"/>
    <s v="OK"/>
    <s v="Interested in international opportunities but confused about visa processes, skill requirements, and cultural preparation for US/Canada markets. || Resolution: Connected with professionals who successfully relocated internationally"/>
    <n v="22668"/>
    <s v="OK"/>
    <s v="RepeatedRemark"/>
    <e v="#N/A"/>
    <s v="2025-33"/>
    <s v="2025-08"/>
    <s v="Open"/>
    <b v="0"/>
  </r>
  <r>
    <s v="75675139575"/>
    <s v="2025-08-16"/>
    <s v="14:10:38"/>
    <d v="2025-08-16T14:10:38"/>
    <s v="Sneha Reddy"/>
    <s v="2025-08-27"/>
    <s v="10:36:13"/>
    <d v="2025-08-27T10:36:13"/>
    <s v="Counselling Team - NPS"/>
    <s v="Counselling Team - NPS"/>
    <s v="Program &amp; Classroom (NPS)"/>
    <s v="7491914923"/>
    <s v="learner015@example.com"/>
    <s v="Instructor David Wilson Rajesh Kumar in AIML Jul25 AIML Jul25 explains neural networks too fast. Yesterday's backpropagation session covered complex mathematics in 20 minutes without examples. When students ask questions, he just says 'check the slides'. Need detailed mathematical walkthrough. || Resolution: Arranged additional math tutorial sessions with TA support"/>
    <s v="DSML"/>
    <x v="6"/>
    <n v="1"/>
    <s v="Complete"/>
    <s v="Solved"/>
    <s v="OK"/>
    <s v="OK"/>
    <s v="OK"/>
    <s v="Instructor David Wilson Rajesh Kumar in AIML Jul25 AIML Jul25 explains neural networks too fast. Yesterday's backpropagation session covered complex mathematics in 20 minutes without examples. When students ask questions, he just says 'check the slides'. Need detailed mathematical walkthrough. || Resolution: Arranged additional math tutorial sessions with TA support"/>
    <n v="34539"/>
    <s v="OK"/>
    <s v="OK"/>
    <n v="260.42638888891088"/>
    <s v="2025-33"/>
    <s v="2025-08"/>
    <s v="Breach"/>
    <b v="1"/>
  </r>
  <r>
    <s v="75612954978"/>
    <s v="2025-08-02"/>
    <s v="10:37:44"/>
    <d v="2025-08-02T10:37:44"/>
    <s v="David Wilson"/>
    <m/>
    <m/>
    <s v=""/>
    <s v="Counselling Team - NPS"/>
    <s v="Counselling Team - NPS"/>
    <s v="Others (NPS)"/>
    <s v="7437662764"/>
    <s v="learner016@example.com"/>
    <s v="Sales promised 100% job guarantee within 6 months but placement team says no such commitment exists. Feel misled about course outcomes. || Resolution: Clarified placement support terms and provided additional career assistance"/>
    <s v="DSML"/>
    <x v="2"/>
    <n v="8"/>
    <s v="Pending"/>
    <s v="In Progress"/>
    <s v="OK"/>
    <s v="OK"/>
    <s v="OK"/>
    <s v="Sales promised 100% job guarantee within 6 months but placement team says no such commitment exists. Feel misled about course outcomes. || Resolution: Clarified placement support terms and provided additional career assistance"/>
    <n v="21446"/>
    <s v="OK"/>
    <s v="RepeatedRemark"/>
    <e v="#N/A"/>
    <s v="2025-31"/>
    <s v="2025-08"/>
    <s v="Open"/>
    <b v="0"/>
  </r>
  <r>
    <s v="75413585139"/>
    <s v="2025-08-23"/>
    <s v="15:52:31"/>
    <d v="2025-08-23T15:52:31"/>
    <s v="Mike Chen"/>
    <s v="2025-09-03"/>
    <s v="14:04:32"/>
    <d v="2025-09-03T14:04:32"/>
    <s v="Counselling Team - NPS"/>
    <s v="Counselling Team - NPS"/>
    <s v="Program &amp; Classroom (NPS)"/>
    <s v="7437662764"/>
    <s v="learner017@example.com"/>
    <s v="Evening Academy Jul25 Beginner starts at 7 PM when dinner time with family. Work-life balance getting affected due to late learning schedule. || Resolution: Introduced early evening slots (6-8 PM) based on demand"/>
    <s v="DevOps"/>
    <x v="7"/>
    <n v="5"/>
    <s v="Complete"/>
    <s v="Solved"/>
    <s v="OK"/>
    <s v="OK"/>
    <s v="OK"/>
    <s v="Evening Academy Jul25 Beginner starts at 7 PM when dinner time with family. Work-life balance getting affected due to late learning schedule. || Resolution: Introduced early evening slots (6-8 PM) based on demand"/>
    <n v="19266"/>
    <s v="OK"/>
    <s v="OK"/>
    <n v="262.20027777791256"/>
    <s v="2025-34"/>
    <s v="2025-08"/>
    <s v="Breach"/>
    <b v="1"/>
  </r>
  <r>
    <s v="75899154414"/>
    <s v="2025-09-16"/>
    <s v="15:52:46"/>
    <d v="2025-09-16T15:52:46"/>
    <s v="Sneha Reddy"/>
    <s v="2025-09-27"/>
    <s v="13:39:51"/>
    <d v="2025-09-27T13:39:51"/>
    <s v="Counselling Team - NPS"/>
    <s v="Counselling Team - NPS"/>
    <s v="Placement (NPS)"/>
    <s v="8152750071"/>
    <s v="learner018@example.com"/>
    <s v="Considering career break for higher studies (MS abroad). Need advice on timing, university selection, and maintaining professional network during studies. || Resolution: Provided comprehensive higher education guidance and alumni connections"/>
    <s v="DSML"/>
    <x v="3"/>
    <n v="2"/>
    <s v="Complete"/>
    <s v="Solved"/>
    <s v="OK"/>
    <s v="OK"/>
    <s v="OK"/>
    <s v="Considering career break for higher studies (MS abroad). Need advice on timing, university selection, and maintaining professional network during studies. || Resolution: Provided comprehensive higher education guidance and alumni connections"/>
    <n v="23075"/>
    <s v="OK"/>
    <s v="RepeatedRemark"/>
    <n v="261.78472222213168"/>
    <s v="2025-38"/>
    <s v="2025-09"/>
    <s v="Breach"/>
    <b v="1"/>
  </r>
  <r>
    <s v="75761203124"/>
    <s v="2025-08-16"/>
    <s v="09:31:54"/>
    <d v="2025-08-16T09:31:54"/>
    <s v="Amit Patel"/>
    <m/>
    <m/>
    <s v=""/>
    <s v="Counselling Team - NPS"/>
    <s v="Counselling Team - NPS"/>
    <s v="Placement (NPS)"/>
    <s v="7780996231"/>
    <s v="learner019@example.com"/>
    <s v="Planning to relocate from Bangalore to Pune for family reasons. Unclear about job market, salary differences, and Google options in Pune tech scene. || Resolution: Connected with local Pune-based mentors and provided market insights"/>
    <s v="DSML"/>
    <x v="3"/>
    <n v="10"/>
    <s v="Pending"/>
    <s v="In Progress"/>
    <s v="OK"/>
    <s v="OK"/>
    <s v="OK"/>
    <s v="Planning to relocate from Bangalore to Pune for family reasons. Unclear about job market, salary differences, and Google options in Pune tech scene. || Resolution: Connected with local Pune-based mentors and provided market insights"/>
    <n v="21807"/>
    <s v="OK"/>
    <s v="OK"/>
    <e v="#N/A"/>
    <s v="2025-33"/>
    <s v="2025-08"/>
    <s v="Open"/>
    <b v="0"/>
  </r>
  <r>
    <s v="75491926217"/>
    <s v="2025-08-22"/>
    <s v="12:46:26"/>
    <d v="2025-08-22T12:46:26"/>
    <s v="Carlos Martinez"/>
    <s v="2025-09-01"/>
    <s v="13:35:00"/>
    <d v="2025-09-01T13:35:00"/>
    <s v="Counselling Team - NPS"/>
    <s v="Counselling Team - NPS"/>
    <s v="Tech (NPS)"/>
    <s v="9384463652"/>
    <s v="learner020@example.com"/>
    <s v="Multiple TAs provide conflicting solutions for same problem. Creates confusion about best practices and correct approach for implementation. || Resolution: Implemented TA training program and standardized solution guidelines"/>
    <s v="AIML"/>
    <x v="4"/>
    <n v="5"/>
    <s v="Complete"/>
    <s v="Solved"/>
    <s v="OK"/>
    <s v="OK"/>
    <s v="OK"/>
    <s v="Multiple TAs provide conflicting solutions for same problem. Creates confusion about best practices and correct approach for implementation. || Resolution: Implemented TA training program and standardized solution guidelines"/>
    <n v="21698"/>
    <s v="OK"/>
    <s v="RepeatedRemark"/>
    <n v="240.80944444437046"/>
    <s v="2025-34"/>
    <s v="2025-08"/>
    <s v="Breach"/>
    <b v="1"/>
  </r>
  <r>
    <s v="75728786222"/>
    <s v="2025-09-01"/>
    <s v="19:37:23"/>
    <d v="2025-09-01T19:37:23"/>
    <s v="Carlos Martinez"/>
    <s v="2025-09-02"/>
    <s v="10:18:14"/>
    <d v="2025-09-02T10:18:14"/>
    <s v="Counselling Team - NPS"/>
    <s v="Counselling Team - NPS"/>
    <s v="Placement (NPS)"/>
    <s v="9377148230"/>
    <s v="learner021@example.com"/>
    <s v="Sales promised 100% job guarantee within 6 months but placement team says no such commitment exists. Feel misled about course outcomes. || Resolution: Clarified placement support terms and provided additional career assistance"/>
    <s v="DSML"/>
    <x v="2"/>
    <n v="5"/>
    <s v="Complete"/>
    <s v="Solved"/>
    <s v="OK"/>
    <s v="OK"/>
    <s v="OK"/>
    <s v="Sales promised 100% job guarantee within 6 months but placement team says no such commitment exists. Feel misled about course outcomes. || Resolution: Clarified placement support terms and provided additional career assistance"/>
    <n v="21446"/>
    <s v="OK"/>
    <s v="RepeatedRemark"/>
    <n v="14.680833333462942"/>
    <s v="2025-36"/>
    <s v="2025-09"/>
    <s v="OK"/>
    <b v="1"/>
  </r>
  <r>
    <s v="75529553265"/>
    <s v="2025-08-22"/>
    <s v="20:12:20"/>
    <d v="2025-08-22T20:12:20"/>
    <s v="Mike Chen"/>
    <s v="2025-08-30"/>
    <s v="13:19:16"/>
    <d v="2025-08-30T13:19:16"/>
    <s v="Counselling Team - NPS"/>
    <s v="Counselling Team - NPS"/>
    <s v="Placement (NPS)"/>
    <s v="9301518177"/>
    <s v="learner022@example.com"/>
    <s v="Multiple interview rounds cleared but final selection goes to internal referrals. External candidates seem disadvantaged despite equal performance. || Resolution: Expanded alumni network for referral opportunities and insider advocacy"/>
    <s v="AIML"/>
    <x v="8"/>
    <n v="10"/>
    <s v="Complete"/>
    <s v="Solved"/>
    <s v="OK"/>
    <s v="OK"/>
    <s v="OK"/>
    <s v="Multiple interview rounds cleared but final selection goes to internal referrals. External candidates seem disadvantaged despite equal performance. || Resolution: Expanded alumni network for referral opportunities and insider advocacy"/>
    <n v="22764"/>
    <s v="OK"/>
    <s v="RepeatedRemark"/>
    <n v="185.11555555555969"/>
    <s v="2025-34"/>
    <s v="2025-08"/>
    <s v="Breach"/>
    <b v="1"/>
  </r>
  <r>
    <s v="75718092217"/>
    <s v="2025-08-31"/>
    <s v="12:23:11"/>
    <d v="2025-08-31T12:23:11"/>
    <s v="Lisa Rodriguez"/>
    <s v="2025-09-10"/>
    <s v="17:38:18"/>
    <d v="2025-09-10T17:38:18"/>
    <s v="Counselling Team - NPS"/>
    <s v="Counselling Team - NPS"/>
    <s v="Placement (NPS)"/>
    <s v="7060766757"/>
    <s v="learner023@example.com"/>
    <s v="Sales promised 100% job guarantee within 6 months but placement team says no such commitment exists. Feel misled about course outcomes. || Resolution: Clarified placement support terms and provided additional career assistance"/>
    <s v="Academy"/>
    <x v="2"/>
    <n v="6"/>
    <s v="Complete"/>
    <s v="Solved"/>
    <s v="OK"/>
    <s v="OK"/>
    <s v="OK"/>
    <s v="Sales promised 100% job guarantee within 6 months but placement team says no such commitment exists. Feel misled about course outcomes. || Resolution: Clarified placement support terms and provided additional career assistance"/>
    <n v="21446"/>
    <s v="OK"/>
    <s v="RepeatedRemark"/>
    <n v="245.25194444437511"/>
    <s v="2025-35"/>
    <s v="2025-08"/>
    <s v="Breach"/>
    <b v="1"/>
  </r>
  <r>
    <s v="75510152642"/>
    <s v="2025-09-14"/>
    <s v="09:36:18"/>
    <d v="2025-09-14T09:36:18"/>
    <s v="Carlos Martinez"/>
    <m/>
    <m/>
    <s v=""/>
    <s v="Counselling Team - NPS"/>
    <s v="Counselling Team - NPS"/>
    <s v="Program &amp; Classroom (NPS)"/>
    <s v="9056061866"/>
    <s v="learner024@example.com"/>
    <s v="Weekend DevOps Jul25 timing (10 AM - 2 PM) conflicts with family time. Children's activities and household responsibilities suffer due to class schedule. || Resolution: Created flexible weekend options with shorter session formats"/>
    <s v="DSML"/>
    <x v="7"/>
    <n v="2"/>
    <s v="Pending"/>
    <s v="In Progress"/>
    <s v="OK"/>
    <s v="OK"/>
    <s v="OK"/>
    <s v="Weekend DevOps Jul25 timing (10 AM - 2 PM) conflicts with family time. Children's activities and household responsibilities suffer due to class schedule. || Resolution: Created flexible weekend options with shorter session formats"/>
    <n v="21344"/>
    <s v="OK"/>
    <s v="RepeatedRemark"/>
    <e v="#N/A"/>
    <s v="2025-37"/>
    <s v="2025-09"/>
    <s v="Open"/>
    <b v="0"/>
  </r>
  <r>
    <s v="75562915636"/>
    <s v="2025-08-31"/>
    <s v="11:51:36"/>
    <d v="2025-08-31T11:51:36"/>
    <s v="Lisa Rodriguez"/>
    <s v="2025-09-02"/>
    <s v="15:31:04"/>
    <d v="2025-09-02T15:31:04"/>
    <s v="Counselling Team - NPS"/>
    <s v="Counselling Team - NPS"/>
    <s v="Tech (NPS)"/>
    <s v="7365849190"/>
    <s v="learner025@example.com"/>
    <s v="Language barrier with some TAs makes doubt sessions ineffective. Accent and communication style difficult to understand during technical explanations. || Resolution: Provided communication training and paired TAs with complementary strengths"/>
    <s v="Academy"/>
    <x v="4"/>
    <n v="5"/>
    <s v="Complete"/>
    <s v="Solved"/>
    <s v="OK"/>
    <s v="OK"/>
    <s v="OK"/>
    <s v="Language barrier with some TAs makes doubt sessions ineffective. Accent and communication style difficult to understand during technical explanations. || Resolution: Provided communication training and paired TAs with complementary strengths"/>
    <n v="23351"/>
    <s v="OK"/>
    <s v="RepeatedRemark"/>
    <n v="51.65777777787298"/>
    <s v="2025-35"/>
    <s v="2025-08"/>
    <s v="OK"/>
    <b v="1"/>
  </r>
  <r>
    <s v="75875368059"/>
    <s v="2025-09-08"/>
    <s v="13:55:37"/>
    <d v="2025-09-08T13:55:37"/>
    <s v="Jessica Kim"/>
    <s v="2025-09-18"/>
    <s v="12:49:33"/>
    <d v="2025-09-18T12:49:33"/>
    <s v="Counselling Team - NPS"/>
    <s v="Counselling Team - NPS"/>
    <s v="Others (NPS)"/>
    <s v="8311598149"/>
    <s v="learner026@example.com"/>
    <s v="Mentor Amit Patel provides only generic advice like 'practice more coding'. Asked specific questions about Google interview process but got template responses. || Resolution: Connected with mentor who recently joined FAANG Uber"/>
    <s v="DSML"/>
    <x v="9"/>
    <n v="7"/>
    <s v="Complete"/>
    <s v="Solved"/>
    <s v="OK"/>
    <s v="OK"/>
    <s v="OK"/>
    <s v="Mentor Amit Patel provides only generic advice like 'practice more coding'. Asked specific questions about Google interview process but got template responses. || Resolution: Connected with mentor who recently joined FAANG Uber"/>
    <n v="21424"/>
    <s v="OK"/>
    <s v="OK"/>
    <n v="238.89888888888527"/>
    <s v="2025-37"/>
    <s v="2025-09"/>
    <s v="Breach"/>
    <b v="1"/>
  </r>
  <r>
    <s v="75657553274"/>
    <s v="2025-09-18"/>
    <s v="11:35:04"/>
    <d v="2025-09-18T11:35:04"/>
    <s v="Priya Sharma"/>
    <s v="2025-09-22"/>
    <s v="13:42:05"/>
    <d v="2025-09-22T13:42:05"/>
    <s v="Counselling Team - NPS"/>
    <s v="Counselling Team - NPS"/>
    <s v="Placement (NPS)"/>
    <s v="7011492154"/>
    <s v="learner027@example.com"/>
    <s v="Placement eligibility criteria require 70%+ in graduation but scored 68% due to family financial crisis during college. Seems unfair exclusion. || Resolution: Reviewed eligibility criteria and created exception process for genuine hardship cases"/>
    <s v="AIML"/>
    <x v="5"/>
    <n v="6"/>
    <s v="Complete"/>
    <s v="Solved"/>
    <s v="OK"/>
    <s v="OK"/>
    <s v="OK"/>
    <s v="Placement eligibility criteria require 70%+ in graduation but scored 68% due to family financial crisis during college. Seems unfair exclusion. || Resolution: Reviewed eligibility criteria and created exception process for genuine hardship cases"/>
    <n v="23171"/>
    <s v="OK"/>
    <s v="RepeatedRemark"/>
    <n v="98.116944444424007"/>
    <s v="2025-38"/>
    <s v="2025-09"/>
    <s v="Breach"/>
    <b v="1"/>
  </r>
  <r>
    <s v="75650636897"/>
    <s v="2025-08-03"/>
    <s v="13:50:50"/>
    <d v="2025-08-03T13:50:50"/>
    <s v="Sneha Reddy"/>
    <s v="2025-08-15"/>
    <s v="13:44:55"/>
    <d v="2025-08-15T13:44:55"/>
    <s v="Counselling Team - NPS"/>
    <s v="Counselling Team - NPS"/>
    <s v="Program &amp; Classroom (NPS)"/>
    <s v="9839759520"/>
    <s v="learner028@example.com"/>
    <s v="Real-time project deployment challenges not addressed in curriculum. Local development works but AWS deployment fails with configuration issues. || Resolution: Created deployment workshop series with hands-on troubleshooting"/>
    <s v="DSML"/>
    <x v="0"/>
    <n v="2"/>
    <s v="Complete"/>
    <s v="Solved"/>
    <s v="OK"/>
    <s v="OK"/>
    <s v="OK"/>
    <s v="Real-time project deployment challenges not addressed in curriculum. Local development works but AWS deployment fails with configuration issues. || Resolution: Created deployment workshop series with hands-on troubleshooting"/>
    <n v="21801"/>
    <s v="OK"/>
    <s v="RepeatedRemark"/>
    <n v="287.9013888888876"/>
    <s v="2025-31"/>
    <s v="2025-08"/>
    <s v="Breach"/>
    <b v="1"/>
  </r>
  <r>
    <s v="75709893263"/>
    <s v="2025-08-15"/>
    <s v="16:07:29"/>
    <d v="2025-08-15T16:07:29"/>
    <s v="Lisa Rodriguez"/>
    <s v="2025-08-20"/>
    <s v="11:04:03"/>
    <d v="2025-08-20T11:04:03"/>
    <s v="Counselling Team - NPS"/>
    <s v="Counselling Team - NPS"/>
    <s v="Tech (NPS)"/>
    <s v="8728760924"/>
    <s v="learner029@example.com"/>
    <s v="Sales promised 100% job guarantee within 6 months but placement team says no such commitment exists. Feel misled about course outcomes. || Resolution: Clarified placement support terms and provided additional career assistance"/>
    <s v="AIML"/>
    <x v="2"/>
    <n v="3"/>
    <s v="Complete"/>
    <s v="Solved"/>
    <s v="OK"/>
    <s v="OK"/>
    <s v="OK"/>
    <s v="Sales promised 100% job guarantee within 6 months but placement team says no such commitment exists. Feel misled about course outcomes. || Resolution: Clarified placement support terms and provided additional career assistance"/>
    <n v="21446"/>
    <s v="OK"/>
    <s v="RepeatedRemark"/>
    <n v="114.94277777778916"/>
    <s v="2025-33"/>
    <s v="2025-08"/>
    <s v="Breach"/>
    <b v="1"/>
  </r>
  <r>
    <s v="75668830491"/>
    <s v="2025-08-03"/>
    <s v="09:05:14"/>
    <d v="2025-08-03T09:05:14"/>
    <s v="Sneha Reddy"/>
    <m/>
    <m/>
    <s v=""/>
    <s v="Counselling Team - NPS"/>
    <s v="Counselling Team - NPS"/>
    <s v="Placement (NPS)"/>
    <s v="9521673791"/>
    <s v="learner030@example.com"/>
    <s v="Overqualified for junior positions, underqualified for senior roles. 6 years in different domain creates positioning challenge for appropriate level targeting. || Resolution: Developed targeted application strategy for career pivot roles"/>
    <s v="DevOps"/>
    <x v="10"/>
    <n v="1"/>
    <s v="Pending"/>
    <s v="In Progress"/>
    <s v="OK"/>
    <s v="OK"/>
    <s v="OK"/>
    <s v="Overqualified for junior positions, underqualified for senior roles. 6 years in different domain creates positioning challenge for appropriate level targeting. || Resolution: Developed targeted application strategy for career pivot roles"/>
    <n v="23001"/>
    <s v="OK"/>
    <s v="RepeatedRemark"/>
    <e v="#N/A"/>
    <s v="2025-31"/>
    <s v="2025-08"/>
    <s v="Open"/>
    <b v="0"/>
  </r>
  <r>
    <s v="75927986559"/>
    <s v="2025-08-31"/>
    <s v="10:30:22"/>
    <d v="2025-08-31T10:30:22"/>
    <s v="Jessica Kim"/>
    <s v="2025-09-08"/>
    <s v="13:11:37"/>
    <d v="2025-09-08T13:11:37"/>
    <s v="Counselling Team - NPS"/>
    <s v="Counselling Team - NPS"/>
    <s v="Placement (NPS)"/>
    <s v="8431548670"/>
    <s v="learner031@example.com"/>
    <s v="Mike Wilson uses outdated examples in Machine Learning classes. Still teaching scikit-learn 0.22 syntax when industry uses 1.3+. Students struggle with modern ML libraries. || Resolution: Updated all code examples to latest library versions"/>
    <s v="DSML"/>
    <x v="6"/>
    <n v="8"/>
    <s v="Complete"/>
    <s v="Solved"/>
    <s v="OK"/>
    <s v="OK"/>
    <s v="OK"/>
    <s v="Mike Wilson uses outdated examples in Machine Learning classes. Still teaching scikit-learn 0.22 syntax when industry uses 1.3+. Students struggle with modern ML libraries. || Resolution: Updated all code examples to latest library versions"/>
    <n v="22422"/>
    <s v="OK"/>
    <s v="RepeatedRemark"/>
    <n v="194.68749999994179"/>
    <s v="2025-35"/>
    <s v="2025-08"/>
    <s v="Breach"/>
    <b v="1"/>
  </r>
  <r>
    <s v="75888365604"/>
    <s v="2025-09-14"/>
    <s v="10:20:16"/>
    <d v="2025-09-14T10:20:16"/>
    <s v="Amit Patel"/>
    <m/>
    <m/>
    <s v=""/>
    <s v="Counselling Team - NPS"/>
    <s v="Counselling Team - NPS"/>
    <s v="Placement (NPS)"/>
    <s v="7497879474"/>
    <s v="learner032@example.com"/>
    <s v="Want to transition from service-based to product companies but don't understand cultural and technical differences. Need guidance on preparation strategy. || Resolution: Connected with mentor who made similar transition and provided Amazon-specific prep"/>
    <s v="Academy"/>
    <x v="3"/>
    <n v="7"/>
    <s v="Complete"/>
    <s v="Solved"/>
    <s v="OK"/>
    <s v="OK"/>
    <s v="OK"/>
    <s v="Want to transition from service-based to product companies but don't understand cultural and technical differences. Need guidance on preparation strategy. || Resolution: Connected with mentor who made similar transition and provided Amazon-specific prep"/>
    <n v="24315"/>
    <s v="OK"/>
    <s v="OK"/>
    <e v="#N/A"/>
    <s v="2025-37"/>
    <s v="2025-09"/>
    <s v="Open"/>
    <b v="0"/>
  </r>
  <r>
    <s v="75455417727"/>
    <s v="2025-09-04"/>
    <s v="12:17:35"/>
    <d v="2025-09-04T12:17:35"/>
    <s v="Priya Sharma"/>
    <s v="2025-09-05"/>
    <s v="12:33:23"/>
    <d v="2025-09-05T12:33:23"/>
    <s v="Counselling Team - NPS"/>
    <s v="Counselling Team - NPS"/>
    <s v="Others (NPS)"/>
    <s v="8237075775"/>
    <s v="learner033@example.com"/>
    <s v="Told course would take 6 months but curriculum actually requires 10+ months for completion. Time commitment significantly underestimated. || Resolution: Updated course duration estimates and provided realistic timeline planning"/>
    <s v="DSML"/>
    <x v="2"/>
    <n v="8"/>
    <s v="Complete"/>
    <s v="Solved"/>
    <s v="OK"/>
    <s v="OK"/>
    <s v="OK"/>
    <s v="Told course would take 6 months but curriculum actually requires 10+ months for completion. Time commitment significantly underestimated. || Resolution: Updated course duration estimates and provided realistic timeline planning"/>
    <n v="21945"/>
    <s v="OK"/>
    <s v="RepeatedRemark"/>
    <n v="24.263333333248738"/>
    <s v="2025-36"/>
    <s v="2025-09"/>
    <s v="OK"/>
    <b v="1"/>
  </r>
  <r>
    <s v="75733665422"/>
    <s v="2025-09-08"/>
    <s v="17:00:35"/>
    <d v="2025-09-08T17:00:35"/>
    <s v="Jessica Kim"/>
    <m/>
    <m/>
    <s v=""/>
    <s v="Counselling Team - NPS"/>
    <s v="Counselling Team - NPS"/>
    <s v="Tech (NPS)"/>
    <s v="7400330495"/>
    <s v="learner034@example.com"/>
    <s v="No specialized TA support for advanced topics like deep learning, cloud architecture, or system design. Generic responses for complex domain questions. || Resolution: Hired subject matter expert TAs for specialized technical support"/>
    <s v="AIML"/>
    <x v="4"/>
    <n v="7"/>
    <s v="Pending"/>
    <s v="In Progress"/>
    <s v="OK"/>
    <s v="OK"/>
    <s v="OK"/>
    <s v="No specialized TA support for advanced topics like deep learning, cloud architecture, or system design. Generic responses for complex domain questions. || Resolution: Hired subject matter expert TAs for specialized technical support"/>
    <n v="22168"/>
    <s v="OK"/>
    <s v="OK"/>
    <e v="#N/A"/>
    <s v="2025-37"/>
    <s v="2025-09"/>
    <s v="Open"/>
    <b v="0"/>
  </r>
  <r>
    <s v="75918079974"/>
    <s v="2025-08-10"/>
    <s v="16:15:29"/>
    <d v="2025-08-10T16:15:29"/>
    <s v="Rohit Gupta"/>
    <s v="2025-08-22"/>
    <s v="13:32:45"/>
    <d v="2025-08-22T13:32:45"/>
    <s v="Counselling Team - NPS"/>
    <s v="Counselling Team - NPS"/>
    <s v="Others (NPS)"/>
    <s v="7621232513"/>
    <s v="learner035@example.com"/>
    <s v="Mentor Amit Patel provides only generic advice like 'practice more coding'. Asked specific questions about Google interview process but got template responses. || Resolution: Connected with mentor who recently joined FAANG TCS"/>
    <s v="DevOps"/>
    <x v="9"/>
    <n v="4"/>
    <s v="Complete"/>
    <s v="Solved"/>
    <s v="OK"/>
    <s v="OK"/>
    <s v="OK"/>
    <s v="Mentor Amit Patel provides only generic advice like 'practice more coding'. Asked specific questions about Google interview process but got template responses. || Resolution: Connected with mentor who recently joined FAANG TCS"/>
    <n v="21260"/>
    <s v="OK"/>
    <s v="OK"/>
    <n v="285.28777777781943"/>
    <s v="2025-32"/>
    <s v="2025-08"/>
    <s v="Breach"/>
    <b v="1"/>
  </r>
  <r>
    <s v="75945179180"/>
    <s v="2025-08-09"/>
    <s v="13:52:00"/>
    <d v="2025-08-09T13:52:00"/>
    <s v="Lisa Rodriguez"/>
    <m/>
    <m/>
    <s v=""/>
    <s v="Counselling Team - NPS"/>
    <s v="Counselling Team - NPS"/>
    <s v="Tech (NPS)"/>
    <s v="8282287615"/>
    <s v="learner036@example.com"/>
    <s v="Python assignment auto-grading system has bugs. Correct solutions marked wrong due to output formatting differences. Frustrating when code logic is perfect. || Resolution: Fixed grading system and manually reviewed affected submissions"/>
    <s v="DSML"/>
    <x v="0"/>
    <n v="3"/>
    <s v="Pending"/>
    <s v="Awaiting Action - Learner"/>
    <s v="OK"/>
    <s v="OK"/>
    <s v="OK"/>
    <s v="Python assignment auto-grading system has bugs. Correct solutions marked wrong due to output formatting differences. Frustrating when code logic is perfect. || Resolution: Fixed grading system and manually reviewed affected submissions"/>
    <n v="22713"/>
    <s v="OK"/>
    <s v="RepeatedRemark"/>
    <e v="#N/A"/>
    <s v="2025-32"/>
    <s v="2025-08"/>
    <s v="Open"/>
    <b v="0"/>
  </r>
  <r>
    <s v="75602563940"/>
    <s v="2025-08-31"/>
    <s v="20:15:36"/>
    <d v="2025-08-31T20:15:36"/>
    <s v="Jessica Kim"/>
    <s v="2025-09-09"/>
    <s v="17:24:29"/>
    <d v="2025-09-09T17:24:29"/>
    <s v="Counselling Team - NPS"/>
    <s v="Counselling Team - NPS"/>
    <s v="Program &amp; Classroom (NPS)"/>
    <s v="8003143045"/>
    <s v="learner037@example.com"/>
    <s v="Lecture slides contain only bullet points without detailed explanations. Need comprehensive notes for exam preparation and interview revision. || Resolution: Enhanced slides with detailed explanations and examples"/>
    <s v="DevOps"/>
    <x v="11"/>
    <n v="5"/>
    <s v="Complete"/>
    <s v="Solved"/>
    <s v="OK"/>
    <s v="OK"/>
    <s v="OK"/>
    <s v="Lecture slides contain only bullet points without detailed explanations. Need comprehensive notes for exam preparation and interview revision. || Resolution: Enhanced slides with detailed explanations and examples"/>
    <n v="20736"/>
    <s v="OK"/>
    <s v="RepeatedRemark"/>
    <n v="213.14805555541534"/>
    <s v="2025-35"/>
    <s v="2025-08"/>
    <s v="Breach"/>
    <b v="1"/>
  </r>
  <r>
    <s v="75931855083"/>
    <s v="2025-08-31"/>
    <s v="09:08:32"/>
    <d v="2025-08-31T09:08:32"/>
    <s v="Sneha Reddy"/>
    <s v="2025-09-07"/>
    <s v="15:42:50"/>
    <d v="2025-09-07T15:42:50"/>
    <s v="Counselling Team - NPS"/>
    <s v="Counselling Team - NPS"/>
    <s v="Program &amp; Classroom (NPS)"/>
    <s v="8425906387"/>
    <s v="learner038@example.com"/>
    <s v="Lecture slides contain only bullet points without detailed explanations. Need comprehensive notes for exam preparation and interview revision. || Resolution: Enhanced slides with detailed explanations and examples"/>
    <s v="AIML"/>
    <x v="11"/>
    <n v="7"/>
    <s v="Complete"/>
    <s v="Solved"/>
    <s v="OK"/>
    <s v="OK"/>
    <s v="OK"/>
    <s v="Lecture slides contain only bullet points without detailed explanations. Need comprehensive notes for exam preparation and interview revision. || Resolution: Enhanced slides with detailed explanations and examples"/>
    <n v="20736"/>
    <s v="OK"/>
    <s v="RepeatedRemark"/>
    <n v="174.57166666653939"/>
    <s v="2025-35"/>
    <s v="2025-08"/>
    <s v="Breach"/>
    <b v="1"/>
  </r>
  <r>
    <s v="75480346223"/>
    <s v="2025-08-30"/>
    <s v="16:50:16"/>
    <d v="2025-08-30T16:50:16"/>
    <s v="Amit Patel"/>
    <s v="2025-09-02"/>
    <s v="15:55:41"/>
    <d v="2025-09-02T15:55:41"/>
    <s v="Counselling Team - NPS"/>
    <s v="Counselling Team - NPS"/>
    <s v="Program &amp; Classroom (NPS)"/>
    <s v="9676878743"/>
    <s v="learner039@example.com"/>
    <s v="No downloadable notes provided for complex topics. Difficult to review mathematical formulas and algorithms without written reference material. || Resolution: Created comprehensive downloadable study guides for all modules"/>
    <s v="AIML"/>
    <x v="11"/>
    <n v="7"/>
    <s v="Complete"/>
    <s v="Solved"/>
    <s v="OK"/>
    <s v="OK"/>
    <s v="OK"/>
    <s v="No downloadable notes provided for complex topics. Difficult to review mathematical formulas and algorithms without written reference material. || Resolution: Created comprehensive downloadable study guides for all modules"/>
    <n v="21599"/>
    <s v="OK"/>
    <s v="RepeatedRemark"/>
    <n v="71.090277777810115"/>
    <s v="2025-35"/>
    <s v="2025-08"/>
    <s v="OK"/>
    <b v="1"/>
  </r>
  <r>
    <s v="75652082631"/>
    <s v="2025-08-21"/>
    <s v="19:43:58"/>
    <d v="2025-08-21T19:43:58"/>
    <s v="Lisa Rodriguez"/>
    <s v="2025-08-29"/>
    <s v="17:02:39"/>
    <d v="2025-08-29T17:02:39"/>
    <s v="Counselling Team - NPS"/>
    <s v="Counselling Team - NPS"/>
    <s v="Program &amp; Classroom (NPS)"/>
    <s v="7977046129"/>
    <s v="learner040@example.com"/>
    <s v="Evening DSML Jul25 starts at 7 PM when dinner time with family. Work-life balance getting affected due to late learning schedule. || Resolution: Introduced early evening slots (6-8 PM) based on demand"/>
    <s v="Academy"/>
    <x v="7"/>
    <n v="3"/>
    <s v="Complete"/>
    <s v="Solved"/>
    <s v="OK"/>
    <s v="OK"/>
    <s v="OK"/>
    <s v="Evening DSML Jul25 starts at 7 PM when dinner time with family. Work-life balance getting affected due to late learning schedule. || Resolution: Introduced early evening slots (6-8 PM) based on demand"/>
    <n v="18036"/>
    <s v="OK"/>
    <s v="RepeatedRemark"/>
    <n v="189.31138888903661"/>
    <s v="2025-34"/>
    <s v="2025-08"/>
    <s v="Breach"/>
    <b v="1"/>
  </r>
  <r>
    <s v="75715001254"/>
    <s v="2025-08-29"/>
    <s v="14:23:27"/>
    <d v="2025-08-29T14:23:27"/>
    <s v="Priya Sharma"/>
    <s v="2025-09-03"/>
    <s v="09:02:20"/>
    <d v="2025-09-03T09:02:20"/>
    <s v="Counselling Team - NPS"/>
    <s v="Counselling Team - NPS"/>
    <s v="Program &amp; Classroom (NPS)"/>
    <s v="8048819999"/>
    <s v="learner041@example.com"/>
    <s v="Weekend Academy Jul25 Intermediate timing (10 AM - 2 PM) conflicts with family time. Children's activities and household responsibilities suffer due to class schedule. || Resolution: Created flexible weekend options with shorter session formats"/>
    <s v="Academy"/>
    <x v="7"/>
    <n v="5"/>
    <s v="Complete"/>
    <s v="Solved"/>
    <s v="OK"/>
    <s v="OK"/>
    <s v="OK"/>
    <s v="Weekend Academy Jul25 Intermediate timing (10 AM - 2 PM) conflicts with family time. Children's activities and household responsibilities suffer due to class schedule. || Resolution: Created flexible weekend options with shorter session formats"/>
    <n v="22718"/>
    <s v="OK"/>
    <s v="RepeatedRemark"/>
    <n v="114.64805555564817"/>
    <s v="2025-35"/>
    <s v="2025-08"/>
    <s v="Breach"/>
    <b v="1"/>
  </r>
  <r>
    <s v="75934366139"/>
    <s v="2025-08-11"/>
    <s v="18:09:14"/>
    <d v="2025-08-11T18:09:14"/>
    <s v="Carlos Martinez"/>
    <s v="2025-08-21"/>
    <s v="15:39:43"/>
    <d v="2025-08-21T15:39:43"/>
    <s v="Counselling Team - NPS"/>
    <s v="Counselling Team - NPS"/>
    <s v="Placement (NPS)"/>
    <s v="9739779525"/>
    <s v="learner042@example.com"/>
    <s v="Contract/freelance offers available but seeking permanent positions with benefits and job security. Market seems tilted toward gig work. || Resolution: Targeted BYJU'S outreach focusing on full-time opportunity pipeline"/>
    <s v="AIML"/>
    <x v="8"/>
    <n v="8"/>
    <s v="Complete"/>
    <s v="Solved"/>
    <s v="OK"/>
    <s v="OK"/>
    <s v="OK"/>
    <s v="Contract/freelance offers available but seeking permanent positions with benefits and job security. Market seems tilted toward gig work. || Resolution: Targeted BYJU'S outreach focusing on full-time opportunity pipeline"/>
    <n v="20989"/>
    <s v="OK"/>
    <s v="OK"/>
    <n v="237.50805555557599"/>
    <s v="2025-33"/>
    <s v="2025-08"/>
    <s v="Breach"/>
    <b v="1"/>
  </r>
  <r>
    <s v="75771048258"/>
    <s v="2025-09-21"/>
    <s v="18:19:40"/>
    <d v="2025-09-21T18:19:40"/>
    <s v="Jessica Kim"/>
    <s v="2025-09-26"/>
    <s v="17:10:04"/>
    <d v="2025-09-26T17:10:04"/>
    <s v="Counselling Team - NPS"/>
    <s v="Counselling Team - NPS"/>
    <s v="Placement (NPS)"/>
    <s v="9964873967"/>
    <s v="learner043@example.com"/>
    <s v="Overqualified for junior positions, underqualified for senior roles. 6 years in different domain creates positioning challenge for appropriate level targeting. || Resolution: Developed targeted application strategy for career pivot roles"/>
    <s v="DSML"/>
    <x v="10"/>
    <n v="7"/>
    <s v="Complete"/>
    <s v="Solved"/>
    <s v="OK"/>
    <s v="OK"/>
    <s v="OK"/>
    <s v="Overqualified for junior positions, underqualified for senior roles. 6 years in different domain creates positioning challenge for appropriate level targeting. || Resolution: Developed targeted application strategy for career pivot roles"/>
    <n v="23001"/>
    <s v="OK"/>
    <s v="RepeatedRemark"/>
    <n v="118.84000000002561"/>
    <s v="2025-38"/>
    <s v="2025-09"/>
    <s v="Breach"/>
    <b v="1"/>
  </r>
  <r>
    <s v="75717001612"/>
    <s v="2025-08-31"/>
    <s v="09:53:42"/>
    <d v="2025-08-31T09:53:42"/>
    <s v="Jessica Kim"/>
    <s v="2025-09-07"/>
    <s v="18:22:36"/>
    <d v="2025-09-07T18:22:36"/>
    <s v="Counselling Team - NPS"/>
    <s v="Counselling Team - NPS"/>
    <s v="Placement (NPS)"/>
    <s v="8178884276"/>
    <s v="learner044@example.com"/>
    <s v="Overqualified for junior positions, underqualified for senior roles. 6 years in different domain creates positioning challenge for appropriate level targeting. || Resolution: Developed targeted application strategy for career pivot roles"/>
    <s v="DevOps"/>
    <x v="10"/>
    <n v="8"/>
    <s v="Complete"/>
    <s v="Solved"/>
    <s v="OK"/>
    <s v="OK"/>
    <s v="OK"/>
    <s v="Overqualified for junior positions, underqualified for senior roles. 6 years in different domain creates positioning challenge for appropriate level targeting. || Resolution: Developed targeted application strategy for career pivot roles"/>
    <n v="23001"/>
    <s v="OK"/>
    <s v="RepeatedRemark"/>
    <n v="176.4816666666884"/>
    <s v="2025-35"/>
    <s v="2025-08"/>
    <s v="Breach"/>
    <b v="1"/>
  </r>
  <r>
    <s v="75635154329"/>
    <s v="2025-09-19"/>
    <s v="19:12:39"/>
    <d v="2025-09-19T19:12:39"/>
    <s v="Lisa Rodriguez"/>
    <m/>
    <m/>
    <s v=""/>
    <s v="Counselling Team - NPS"/>
    <s v="Counselling Team - NPS"/>
    <s v="Program &amp; Classroom (NPS)"/>
    <s v="9910976189"/>
    <s v="learner045@example.com"/>
    <s v="Instructor Nina Patel Rajesh Kumar in AIML Jul25 DevOps Jul25 explains neural networks too fast. Yesterday's backpropagation session covered complex mathematics in 20 minutes without examples. When students ask questions, he just says 'check the slides'. Need detailed mathematical walkthrough. || Resolution: Arranged additional math tutorial sessions with TA support"/>
    <s v="DevOps"/>
    <x v="6"/>
    <n v="9"/>
    <s v="Pending"/>
    <s v="In Progress"/>
    <s v="OK"/>
    <s v="OK"/>
    <s v="OK"/>
    <s v="Instructor Nina Patel Rajesh Kumar in AIML Jul25 DevOps Jul25 explains neural networks too fast. Yesterday's backpropagation session covered complex mathematics in 20 minutes without examples. When students ask questions, he just says 'check the slides'. Need detailed mathematical walkthrough. || Resolution: Arranged additional math tutorial sessions with TA support"/>
    <n v="34609"/>
    <s v="OK"/>
    <s v="OK"/>
    <e v="#N/A"/>
    <s v="2025-38"/>
    <s v="2025-09"/>
    <s v="Open"/>
    <b v="0"/>
  </r>
  <r>
    <s v="75716872439"/>
    <s v="2025-08-03"/>
    <s v="14:47:26"/>
    <d v="2025-08-03T14:47:26"/>
    <s v="Priya Sharma"/>
    <s v="2025-08-11"/>
    <s v="09:37:23"/>
    <d v="2025-08-11T09:37:23"/>
    <s v="Counselling Team - NPS"/>
    <s v="Counselling Team - NPS"/>
    <s v="Program &amp; Classroom (NPS)"/>
    <s v="7862407093"/>
    <s v="learner046@example.com"/>
    <s v="Sales promised 100% job guarantee within 6 months but placement team says no such commitment exists. Feel misled about course outcomes. || Resolution: Clarified placement support terms and provided additional career assistance"/>
    <s v="AIML"/>
    <x v="2"/>
    <n v="6"/>
    <s v="Complete"/>
    <s v="Solved"/>
    <s v="OK"/>
    <s v="OK"/>
    <s v="OK"/>
    <s v="Sales promised 100% job guarantee within 6 months but placement team says no such commitment exists. Feel misled about course outcomes. || Resolution: Clarified placement support terms and provided additional career assistance"/>
    <n v="21446"/>
    <s v="OK"/>
    <s v="RepeatedRemark"/>
    <n v="186.83250000007683"/>
    <s v="2025-31"/>
    <s v="2025-08"/>
    <s v="Breach"/>
    <b v="1"/>
  </r>
  <r>
    <s v="75523662532"/>
    <s v="2025-08-11"/>
    <s v="16:04:09"/>
    <d v="2025-08-11T16:04:09"/>
    <s v="David Wilson"/>
    <s v="2025-08-19"/>
    <s v="13:47:55"/>
    <d v="2025-08-19T13:47:55"/>
    <s v="Counselling Team - NPS"/>
    <s v="Counselling Team - NPS"/>
    <s v="Others (NPS)"/>
    <s v="7862407093"/>
    <s v="learner047@example.com"/>
    <s v="Assignment deadlines clash with office project deliveries. Given 3 major assignments during typical sprint planning weeks. Need better coordination. || Resolution: Staggered assignment deadlines and provided extension options"/>
    <s v="DevOps"/>
    <x v="1"/>
    <n v="7"/>
    <s v="Complete"/>
    <s v="Solved"/>
    <s v="OK"/>
    <s v="OK"/>
    <s v="OK"/>
    <s v="Assignment deadlines clash with office project deliveries. Given 3 major assignments during typical sprint planning weeks. Need better coordination. || Resolution: Staggered assignment deadlines and provided extension options"/>
    <n v="21738"/>
    <s v="OK"/>
    <s v="RepeatedRemark"/>
    <n v="189.72944444435416"/>
    <s v="2025-33"/>
    <s v="2025-08"/>
    <s v="Breach"/>
    <b v="1"/>
  </r>
  <r>
    <s v="75809123009"/>
    <s v="2025-08-01"/>
    <s v="19:23:06"/>
    <d v="2025-08-01T19:23:06"/>
    <s v="David Wilson"/>
    <s v="2025-08-03"/>
    <s v="16:23:43"/>
    <d v="2025-08-03T16:23:43"/>
    <s v="Counselling Team - NPS"/>
    <s v="Counselling Team - NPS"/>
    <s v="Program &amp; Classroom (NPS)"/>
    <s v="9024977737"/>
    <s v="learner048@example.com"/>
    <s v="Evening DSML Jul25 starts at 7 PM when dinner time with family. Work-life balance getting affected due to late learning schedule. || Resolution: Introduced early evening slots (6-8 PM) based on demand"/>
    <s v="DevOps"/>
    <x v="7"/>
    <n v="1"/>
    <s v="Complete"/>
    <s v="Solved"/>
    <s v="OK"/>
    <s v="OK"/>
    <s v="OK"/>
    <s v="Evening DSML Jul25 starts at 7 PM when dinner time with family. Work-life balance getting affected due to late learning schedule. || Resolution: Introduced early evening slots (6-8 PM) based on demand"/>
    <n v="18036"/>
    <s v="OK"/>
    <s v="RepeatedRemark"/>
    <n v="45.01027777773561"/>
    <s v="2025-31"/>
    <s v="2025-08"/>
    <s v="OK"/>
    <b v="1"/>
  </r>
  <r>
    <s v="75838404342"/>
    <s v="2025-09-10"/>
    <s v="10:08:02"/>
    <d v="2025-09-10T10:08:02"/>
    <s v="Sarah Johnson"/>
    <m/>
    <m/>
    <s v=""/>
    <s v="Counselling Team - NPS"/>
    <s v="Counselling Team - NPS"/>
    <s v="Program &amp; Classroom (NPS)"/>
    <s v="8307235909"/>
    <s v="learner049@example.com"/>
    <s v="Lisa Rodriguez speaks too softly during System Design sessions. Students in back rows can't hear database scaling explanations. Room acoustics poor for 150+ student Academy Jul25 Intermediate. || Resolution: Upgraded classroom sound system and reduced Academy Jul25 Intermediate size"/>
    <s v="DevOps"/>
    <x v="6"/>
    <n v="5"/>
    <s v="Pending"/>
    <s v="In Progress"/>
    <s v="OK"/>
    <s v="OK"/>
    <s v="OK"/>
    <s v="Lisa Rodriguez speaks too softly during System Design sessions. Students in back rows can't hear database scaling explanations. Room acoustics poor for 150+ student Academy Jul25 Intermediate. || Resolution: Upgraded classroom sound system and reduced Academy Jul25 Intermediate size"/>
    <n v="26502"/>
    <s v="OK"/>
    <s v="OK"/>
    <e v="#N/A"/>
    <s v="2025-37"/>
    <s v="2025-09"/>
    <s v="Open"/>
    <b v="0"/>
  </r>
  <r>
    <s v="75845478870"/>
    <s v="2025-08-09"/>
    <s v="19:06:53"/>
    <d v="2025-08-09T19:06:53"/>
    <s v="Carlos Martinez"/>
    <s v="2025-08-15"/>
    <s v="17:26:37"/>
    <d v="2025-08-15T17:26:37"/>
    <s v="Counselling Team - NPS"/>
    <s v="Counselling Team - NPS"/>
    <s v="Others (NPS)"/>
    <s v="9644206129"/>
    <s v="learner050@example.com"/>
    <s v="Teaching Assistant lacks depth in advanced topics. Can help with basic syntax but struggles with algorithm optimization and complexity analysis questions. || Resolution: Assigned senior TA with computer science background for advanced topic support"/>
    <s v="AIML"/>
    <x v="4"/>
    <n v="3"/>
    <s v="Complete"/>
    <s v="Solved"/>
    <s v="OK"/>
    <s v="OK"/>
    <s v="OK"/>
    <s v="Teaching Assistant lacks depth in advanced topics. Can help with basic syntax but struggles with algorithm optimization and complexity analysis questions. || Resolution: Assigned senior TA with computer science background for advanced topic support"/>
    <n v="23927"/>
    <s v="OK"/>
    <s v="RepeatedRemark"/>
    <n v="142.32888888887828"/>
    <s v="2025-32"/>
    <s v="2025-08"/>
    <s v="Breach"/>
    <b v="1"/>
  </r>
  <r>
    <s v="75465015165"/>
    <s v="2025-08-14"/>
    <s v="15:17:12"/>
    <d v="2025-08-14T15:17:12"/>
    <s v="Mike Chen"/>
    <s v="2025-08-18"/>
    <s v="14:06:43"/>
    <d v="2025-08-18T14:06:43"/>
    <s v="Counselling Team - NPS"/>
    <s v="Counselling Team - NPS"/>
    <s v="Tech (NPS)"/>
    <s v="8952996248"/>
    <s v="learner051@example.com"/>
    <s v="Project complexity too high for time allocated. Expected to build full e-commerce site in 2 weeks while learning React simultaneously. Unrealistic expectations. || Resolution: Redesigned project scope and extended timeline with milestone-based approach"/>
    <s v="DevOps"/>
    <x v="0"/>
    <n v="7"/>
    <s v="Complete"/>
    <s v="Solved"/>
    <s v="OK"/>
    <s v="OK"/>
    <s v="OK"/>
    <s v="Project complexity too high for time allocated. Expected to build full e-commerce site in 2 weeks while learning React simultaneously. Unrealistic expectations. || Resolution: Redesigned project scope and extended timeline with milestone-based approach"/>
    <n v="24100"/>
    <s v="OK"/>
    <s v="RepeatedRemark"/>
    <n v="94.825277777854353"/>
    <s v="2025-33"/>
    <s v="2025-08"/>
    <s v="Breach"/>
    <b v="1"/>
  </r>
  <r>
    <s v="75631875999"/>
    <s v="2025-09-20"/>
    <s v="12:21:49"/>
    <d v="2025-09-20T12:21:49"/>
    <s v="Priya Sharma"/>
    <s v="2025-09-23"/>
    <s v="18:13:04"/>
    <d v="2025-09-23T18:13:04"/>
    <s v="Counselling Team - NPS"/>
    <s v="Counselling Team - NPS"/>
    <s v="Program &amp; Classroom (NPS)"/>
    <s v="9559721644"/>
    <s v="learner052@example.com"/>
    <s v="Machine Learning module lacks MLOps content. No coverage of model deployment, monitoring, or A/B testing. Industry expects end-to-end ML pipeline knowledge. || Resolution: Adding MLOps specialization track with hands-on deployment projects"/>
    <s v="AIML"/>
    <x v="12"/>
    <n v="3"/>
    <s v="Complete"/>
    <s v="Solved"/>
    <s v="OK"/>
    <s v="OK"/>
    <s v="OK"/>
    <s v="Machine Learning module lacks MLOps content. No coverage of model deployment, monitoring, or A/B testing. Industry expects end-to-end ML pipeline knowledge. || Resolution: Adding MLOps specialization track with hands-on deployment projects"/>
    <n v="22411"/>
    <s v="OK"/>
    <s v="RepeatedRemark"/>
    <n v="77.854166666627862"/>
    <s v="2025-38"/>
    <s v="2025-09"/>
    <s v="Breach"/>
    <b v="1"/>
  </r>
  <r>
    <s v="75541522640"/>
    <s v="2025-08-17"/>
    <s v="09:22:50"/>
    <d v="2025-08-17T09:22:50"/>
    <s v="David Wilson"/>
    <m/>
    <m/>
    <s v=""/>
    <s v="Counselling Team - NPS"/>
    <s v="Counselling Team - NPS"/>
    <s v="Program &amp; Classroom (NPS)"/>
    <s v="9529104043"/>
    <s v="learner053@example.com"/>
    <s v="Mike Wilson uses outdated examples in Machine Learning classes. Still teaching scikit-learn 0.22 syntax when industry uses 1.3+. Students struggle with modern ML libraries. || Resolution: Updated all code examples to latest library versions"/>
    <s v="Academy"/>
    <x v="6"/>
    <n v="2"/>
    <s v="Pending"/>
    <s v="Awaiting Action - Scaler"/>
    <s v="OK"/>
    <s v="OK"/>
    <s v="OK"/>
    <s v="Mike Wilson uses outdated examples in Machine Learning classes. Still teaching scikit-learn 0.22 syntax when industry uses 1.3+. Students struggle with modern ML libraries. || Resolution: Updated all code examples to latest library versions"/>
    <n v="22422"/>
    <s v="OK"/>
    <s v="RepeatedRemark"/>
    <e v="#N/A"/>
    <s v="2025-33"/>
    <s v="2025-08"/>
    <s v="Open"/>
    <b v="0"/>
  </r>
  <r>
    <s v="75881331845"/>
    <s v="2025-08-09"/>
    <s v="14:32:37"/>
    <d v="2025-08-09T14:32:37"/>
    <s v="Mike Chen"/>
    <s v="2025-08-18"/>
    <s v="10:47:04"/>
    <d v="2025-08-18T10:47:04"/>
    <s v="Counselling Team - NPS"/>
    <s v="Counselling Team - NPS"/>
    <s v="Placement (NPS)"/>
    <s v="8941348507"/>
    <s v="learner054@example.com"/>
    <s v="Confused between Data Science and Machine Learning Engineer paths. Course covers both but unclear about day-to-day responsibilities and career progression in each field. || Resolution: Arranged informational interviews with professionals in both roles"/>
    <s v="DSML"/>
    <x v="3"/>
    <n v="2"/>
    <s v="Complete"/>
    <s v="Solved"/>
    <s v="OK"/>
    <s v="OK"/>
    <s v="OK"/>
    <s v="Confused between Data Science and Machine Learning Engineer paths. Course covers both but unclear about day-to-day responsibilities and career progression in each field. || Resolution: Arranged informational interviews with professionals in both roles"/>
    <n v="23965"/>
    <s v="OK"/>
    <s v="RepeatedRemark"/>
    <n v="212.24083333328599"/>
    <s v="2025-32"/>
    <s v="2025-08"/>
    <s v="Breach"/>
    <b v="1"/>
  </r>
  <r>
    <s v="75891819409"/>
    <s v="2025-09-20"/>
    <s v="19:01:03"/>
    <d v="2025-09-20T19:01:03"/>
    <s v="Carlos Martinez"/>
    <m/>
    <m/>
    <s v=""/>
    <s v="Counselling Team - NPS"/>
    <s v="Counselling Team - NPS"/>
    <s v="Placement (NPS)"/>
    <s v="8724932977"/>
    <s v="learner055@example.com"/>
    <s v="Interview performance good but companies prefer candidates with production experience. Theoretical knowledge not translating to confidence in interviews. || Resolution: Created mock production environment projects for hands-on experience"/>
    <s v="DevOps"/>
    <x v="8"/>
    <n v="4"/>
    <s v="Pending"/>
    <s v="In Progress"/>
    <s v="OK"/>
    <s v="OK"/>
    <s v="OK"/>
    <s v="Interview performance good but companies prefer candidates with production experience. Theoretical knowledge not translating to confidence in interviews. || Resolution: Created mock production environment projects for hands-on experience"/>
    <n v="23158"/>
    <s v="OK"/>
    <s v="OK"/>
    <e v="#N/A"/>
    <s v="2025-38"/>
    <s v="2025-09"/>
    <s v="Open"/>
    <b v="0"/>
  </r>
  <r>
    <s v="75535497187"/>
    <s v="2025-08-05"/>
    <s v="13:39:40"/>
    <d v="2025-08-05T13:39:40"/>
    <s v="Sneha Reddy"/>
    <m/>
    <m/>
    <s v=""/>
    <s v="Counselling Team - NPS"/>
    <s v="Counselling Team - NPS"/>
    <s v="Program &amp; Classroom (NPS)"/>
    <s v="9355172948"/>
    <s v="learner056@example.com"/>
    <s v="Assignment datasets have data quality issues but no guidance on how to handle missing values, outliers, or inconsistent formats professionally. || Resolution: Created data cleaning tutorial series and best practices documentation"/>
    <s v="AIML"/>
    <x v="0"/>
    <n v="3"/>
    <s v="Pending"/>
    <s v="Awaiting Action - Learner"/>
    <s v="OK"/>
    <s v="OK"/>
    <s v="OK"/>
    <s v="Assignment datasets have data quality issues but no guidance on how to handle missing values, outliers, or inconsistent formats professionally. || Resolution: Created data cleaning tutorial series and best practices documentation"/>
    <n v="22151"/>
    <s v="OK"/>
    <s v="RepeatedRemark"/>
    <e v="#N/A"/>
    <s v="2025-32"/>
    <s v="2025-08"/>
    <s v="Open"/>
    <b v="0"/>
  </r>
  <r>
    <s v="75991991695"/>
    <s v="2025-08-30"/>
    <s v="20:55:13"/>
    <d v="2025-08-30T20:55:13"/>
    <s v="Jessica Kim"/>
    <s v="2025-09-06"/>
    <s v="10:50:44"/>
    <d v="2025-09-06T10:50:44"/>
    <s v="Counselling Team - NPS"/>
    <s v="Counselling Team - NPS"/>
    <s v="Program &amp; Classroom (NPS)"/>
    <s v="8939413575"/>
    <s v="learner057@example.com"/>
    <s v="Evening DevOps Jul25 starts at 7 PM when dinner time with family. Work-life balance getting affected due to late learning schedule. || Resolution: Introduced early evening slots (6-8 PM) based on demand"/>
    <s v="Academy"/>
    <x v="7"/>
    <n v="1"/>
    <s v="Complete"/>
    <s v="Solved"/>
    <s v="OK"/>
    <s v="OK"/>
    <s v="OK"/>
    <s v="Evening DevOps Jul25 starts at 7 PM when dinner time with family. Work-life balance getting affected due to late learning schedule. || Resolution: Introduced early evening slots (6-8 PM) based on demand"/>
    <n v="18325"/>
    <s v="OK"/>
    <s v="OK"/>
    <n v="157.92527777765645"/>
    <s v="2025-35"/>
    <s v="2025-08"/>
    <s v="Breach"/>
    <b v="1"/>
  </r>
  <r>
    <s v="75563894795"/>
    <s v="2025-08-27"/>
    <s v="19:59:30"/>
    <d v="2025-08-27T19:59:30"/>
    <s v="Mike Chen"/>
    <s v="2025-09-02"/>
    <s v="15:20:42"/>
    <d v="2025-09-02T15:20:42"/>
    <s v="Counselling Team - NPS"/>
    <s v="Counselling Team - NPS"/>
    <s v="Tech (NPS)"/>
    <s v="7391807468"/>
    <s v="learner058@example.com"/>
    <s v="Resume feedback too generic. Mentor suggests 'add more projects' without specific guidance on what types of projects or how to showcase impact. || Resolution: Provided mentor training on detailed resume optimization techniques"/>
    <s v="DevOps"/>
    <x v="9"/>
    <n v="5"/>
    <s v="Complete"/>
    <s v="Solved"/>
    <s v="OK"/>
    <s v="OK"/>
    <s v="OK"/>
    <s v="Resume feedback too generic. Mentor suggests 'add more projects' without specific guidance on what types of projects or how to showcase impact. || Resolution: Provided mentor training on detailed resume optimization techniques"/>
    <n v="21673"/>
    <s v="OK"/>
    <s v="RepeatedRemark"/>
    <n v="139.35333333327435"/>
    <s v="2025-35"/>
    <s v="2025-08"/>
    <s v="Breach"/>
    <b v="1"/>
  </r>
  <r>
    <s v="75531244840"/>
    <s v="2025-09-17"/>
    <s v="15:22:55"/>
    <d v="2025-09-17T15:22:55"/>
    <s v="Jessica Kim"/>
    <s v="2025-09-20"/>
    <s v="17:03:37"/>
    <d v="2025-09-20T17:03:37"/>
    <s v="Counselling Team - NPS"/>
    <s v="Counselling Team - NPS"/>
    <s v="Program &amp; Classroom (NPS)"/>
    <s v="7220959215"/>
    <s v="learner059@example.com"/>
    <s v="No downloadable notes provided for complex topics. Difficult to review mathematical formulas and algorithms without written reference material. || Resolution: Created comprehensive downloadable study guides for all modules"/>
    <s v="DevOps"/>
    <x v="11"/>
    <n v="6"/>
    <s v="Complete"/>
    <s v="Solved"/>
    <s v="OK"/>
    <s v="OK"/>
    <s v="OK"/>
    <s v="No downloadable notes provided for complex topics. Difficult to review mathematical formulas and algorithms without written reference material. || Resolution: Created comprehensive downloadable study guides for all modules"/>
    <n v="21599"/>
    <s v="OK"/>
    <s v="RepeatedRemark"/>
    <n v="73.678333333285991"/>
    <s v="2025-38"/>
    <s v="2025-09"/>
    <s v="Breach"/>
    <b v="1"/>
  </r>
  <r>
    <s v="75775932035"/>
    <s v="2025-09-02"/>
    <s v="17:23:07"/>
    <d v="2025-09-02T17:23:07"/>
    <s v="Lisa Rodriguez"/>
    <s v="2025-09-13"/>
    <s v="16:14:54"/>
    <d v="2025-09-13T16:14:54"/>
    <s v="Counselling Team - NPS"/>
    <s v="Counselling Team - NPS"/>
    <s v="Placement (NPS)"/>
    <s v="9465740756"/>
    <s v="learner060@example.com"/>
    <s v="Resume format doesn't work for startup applications. Too formal for young companies, but changing format affects ATS performance at large corporations. || Resolution: Created dual resume strategy for different TCS types"/>
    <s v="Academy"/>
    <x v="10"/>
    <n v="7"/>
    <s v="Complete"/>
    <s v="Solved"/>
    <s v="OK"/>
    <s v="OK"/>
    <s v="OK"/>
    <s v="Resume format doesn't work for startup applications. Too formal for young companies, but changing format affects ATS performance at large corporations. || Resolution: Created dual resume strategy for different TCS types"/>
    <n v="20822"/>
    <s v="OK"/>
    <s v="OK"/>
    <n v="262.86305555555737"/>
    <s v="2025-36"/>
    <s v="2025-09"/>
    <s v="Breach"/>
    <b v="1"/>
  </r>
  <r>
    <s v="75593720285"/>
    <s v="2025-09-09"/>
    <s v="13:44:48"/>
    <d v="2025-09-09T13:44:48"/>
    <s v="Lisa Rodriguez"/>
    <s v="2025-09-18"/>
    <s v="09:38:59"/>
    <d v="2025-09-18T09:38:59"/>
    <s v="Counselling Team - NPS"/>
    <s v="Counselling Team - NPS"/>
    <s v="Program &amp; Classroom (NPS)"/>
    <s v="8459535801"/>
    <s v="learner061@example.com"/>
    <s v="Resume feedback too generic. Mentor suggests 'add more projects' without specific guidance on what types of projects or how to showcase impact. || Resolution: Provided mentor training on detailed resume optimization techniques"/>
    <s v="DevOps"/>
    <x v="9"/>
    <n v="6"/>
    <s v="Complete"/>
    <s v="Solved"/>
    <s v="OK"/>
    <s v="OK"/>
    <s v="OK"/>
    <s v="Resume feedback too generic. Mentor suggests 'add more projects' without specific guidance on what types of projects or how to showcase impact. || Resolution: Provided mentor training on detailed resume optimization techniques"/>
    <n v="21673"/>
    <s v="OK"/>
    <s v="RepeatedRemark"/>
    <n v="211.9030555554782"/>
    <s v="2025-37"/>
    <s v="2025-09"/>
    <s v="Breach"/>
    <b v="1"/>
  </r>
  <r>
    <s v="75803935666"/>
    <s v="2025-09-12"/>
    <s v="15:29:21"/>
    <d v="2025-09-12T15:29:21"/>
    <s v="Priya Sharma"/>
    <s v="2025-09-15"/>
    <s v="09:05:47"/>
    <d v="2025-09-15T09:05:47"/>
    <s v="Counselling Team - NPS"/>
    <s v="Counselling Team - NPS"/>
    <s v="Placement (NPS)"/>
    <s v="8589365925"/>
    <s v="learner062@example.com"/>
    <s v="Confused between Data Science and Machine Learning Engineer paths. Course covers both but unclear about day-to-day responsibilities and career progression in each field. || Resolution: Arranged informational interviews with professionals in both roles"/>
    <s v="AIML"/>
    <x v="3"/>
    <n v="3"/>
    <s v="Complete"/>
    <s v="Solved"/>
    <s v="OK"/>
    <s v="OK"/>
    <s v="OK"/>
    <s v="Confused between Data Science and Machine Learning Engineer paths. Course covers both but unclear about day-to-day responsibilities and career progression in each field. || Resolution: Arranged informational interviews with professionals in both roles"/>
    <n v="23965"/>
    <s v="OK"/>
    <s v="RepeatedRemark"/>
    <n v="65.607222222257406"/>
    <s v="2025-37"/>
    <s v="2025-09"/>
    <s v="OK"/>
    <b v="1"/>
  </r>
  <r>
    <s v="75875788930"/>
    <s v="2025-08-04"/>
    <s v="19:27:31"/>
    <d v="2025-08-04T19:27:31"/>
    <s v="Sneha Reddy"/>
    <m/>
    <m/>
    <s v=""/>
    <s v="Counselling Team - NPS"/>
    <s v="Counselling Team - NPS"/>
    <s v="Placement (NPS)"/>
    <s v="8898565319"/>
    <s v="learner063@example.com"/>
    <s v="Career gap of 18 months for personal reasons creating red flags. Recruiters question commitment and skill currency despite recent course completion. || Resolution: Developed gap explanation strategy and skill demonstration projects"/>
    <s v="DevOps"/>
    <x v="10"/>
    <n v="4"/>
    <s v="Complete"/>
    <s v="Solved"/>
    <s v="OK"/>
    <s v="OK"/>
    <s v="OK"/>
    <s v="Career gap of 18 months for personal reasons creating red flags. Recruiters question commitment and skill currency despite recent course completion. || Resolution: Developed gap explanation strategy and skill demonstration projects"/>
    <n v="22299"/>
    <s v="OK"/>
    <s v="RepeatedRemark"/>
    <e v="#N/A"/>
    <s v="2025-32"/>
    <s v="2025-08"/>
    <s v="Open"/>
    <b v="0"/>
  </r>
  <r>
    <s v="75448766522"/>
    <s v="2025-08-08"/>
    <s v="12:25:38"/>
    <d v="2025-08-08T12:25:38"/>
    <s v="Sarah Johnson"/>
    <s v="2025-08-10"/>
    <s v="13:43:43"/>
    <d v="2025-08-10T13:43:43"/>
    <s v="Counselling Team - NPS"/>
    <s v="Counselling Team - NPS"/>
    <s v="Tech (NPS)"/>
    <s v="7033015788"/>
    <s v="learner064@example.com"/>
    <s v="Project complexity too high for time allocated. Expected to build full e-commerce site in 2 weeks while learning React simultaneously. Unrealistic expectations. || Resolution: Redesigned project scope and extended timeline with milestone-based approach"/>
    <s v="DSML"/>
    <x v="0"/>
    <n v="1"/>
    <s v="Complete"/>
    <s v="Solved"/>
    <s v="OK"/>
    <s v="OK"/>
    <s v="OK"/>
    <s v="Project complexity too high for time allocated. Expected to build full e-commerce site in 2 weeks while learning React simultaneously. Unrealistic expectations. || Resolution: Redesigned project scope and extended timeline with milestone-based approach"/>
    <n v="24100"/>
    <s v="OK"/>
    <s v="RepeatedRemark"/>
    <n v="49.301388888910878"/>
    <s v="2025-32"/>
    <s v="2025-08"/>
    <s v="OK"/>
    <b v="1"/>
  </r>
  <r>
    <s v="75538712095"/>
    <s v="2025-09-18"/>
    <s v="15:34:45"/>
    <d v="2025-09-18T15:34:45"/>
    <s v="David Wilson"/>
    <s v="2025-09-24"/>
    <s v="10:00:31"/>
    <d v="2025-09-24T10:00:31"/>
    <s v="Counselling Team - NPS"/>
    <s v="Counselling Team - NPS"/>
    <s v="Placement (NPS)"/>
    <s v="9148610411"/>
    <s v="learner065@example.com"/>
    <s v="Career guidance sessions focus only on technical skills. No discussion about salary negotiation, Uber culture fit, or work-life balance considerations. || Resolution: Introduced holistic career coaching covering all professional aspects"/>
    <s v="DSML"/>
    <x v="9"/>
    <n v="8"/>
    <s v="Complete"/>
    <s v="Solved"/>
    <s v="OK"/>
    <s v="OK"/>
    <s v="OK"/>
    <s v="Career guidance sessions focus only on technical skills. No discussion about salary negotiation, Uber culture fit, or work-life balance considerations. || Resolution: Introduced holistic career coaching covering all professional aspects"/>
    <n v="22709"/>
    <s v="OK"/>
    <s v="OK"/>
    <n v="138.42944444442401"/>
    <s v="2025-38"/>
    <s v="2025-09"/>
    <s v="Breach"/>
    <b v="1"/>
  </r>
  <r>
    <s v="75834245762"/>
    <s v="2025-08-03"/>
    <s v="20:40:26"/>
    <d v="2025-08-03T20:40:26"/>
    <s v="Lisa Rodriguez"/>
    <s v="2025-08-11"/>
    <s v="10:55:20"/>
    <d v="2025-08-11T10:55:20"/>
    <s v="Counselling Team - NPS"/>
    <s v="Counselling Team - NPS"/>
    <s v="Placement (NPS)"/>
    <s v="7494665880"/>
    <s v="learner066@example.com"/>
    <s v="Multiple interview rounds cleared but final selection goes to internal referrals. External candidates seem disadvantaged despite equal performance. || Resolution: Expanded alumni network for referral opportunities and insider advocacy"/>
    <s v="DSML"/>
    <x v="8"/>
    <n v="7"/>
    <s v="Complete"/>
    <s v="Solved"/>
    <s v="OK"/>
    <s v="OK"/>
    <s v="OK"/>
    <s v="Multiple interview rounds cleared but final selection goes to internal referrals. External candidates seem disadvantaged despite equal performance. || Resolution: Expanded alumni network for referral opportunities and insider advocacy"/>
    <n v="22764"/>
    <s v="OK"/>
    <s v="RepeatedRemark"/>
    <n v="182.24833333329298"/>
    <s v="2025-31"/>
    <s v="2025-08"/>
    <s v="Breach"/>
    <b v="1"/>
  </r>
  <r>
    <s v="75513669678"/>
    <s v="2025-08-30"/>
    <s v="12:27:37"/>
    <d v="2025-08-30T12:27:37"/>
    <s v="Jessica Kim"/>
    <m/>
    <m/>
    <s v=""/>
    <s v="Counselling Team - NPS"/>
    <s v="Counselling Team - NPS"/>
    <s v="Others (NPS)"/>
    <s v="9250402001"/>
    <s v="learner067@example.com"/>
    <s v="Capstone project requirements unclear and keep changing. Initially asked for web app, then data analysis, now ML model. Wasted 3 weeks on wrong direction. || Resolution: Standardized project requirements and assigned dedicated project coordinator"/>
    <s v="Academy"/>
    <x v="0"/>
    <n v="2"/>
    <s v="Complete"/>
    <s v="Awaiting Action - Learner"/>
    <s v="OK"/>
    <s v="OK"/>
    <s v="OK"/>
    <s v="Capstone project requirements unclear and keep changing. Initially asked for web app, then data analysis, now ML model. Wasted 3 weeks on wrong direction. || Resolution: Standardized project requirements and assigned dedicated project coordinator"/>
    <n v="23321"/>
    <s v="OK"/>
    <s v="RepeatedRemark"/>
    <e v="#N/A"/>
    <s v="2025-35"/>
    <s v="2025-08"/>
    <s v="Open"/>
    <b v="0"/>
  </r>
  <r>
    <s v="75969732591"/>
    <s v="2025-08-15"/>
    <s v="17:12:57"/>
    <d v="2025-08-15T17:12:57"/>
    <s v="Amit Patel"/>
    <s v="2025-08-18"/>
    <s v="10:32:40"/>
    <d v="2025-08-18T10:32:40"/>
    <s v="Counselling Team - NPS"/>
    <s v="Counselling Team - NPS"/>
    <s v="Program &amp; Classroom (NPS)"/>
    <s v="8507961865"/>
    <s v="learner068@example.com"/>
    <s v="Full Stack development track doesn't cover modern React patterns like hooks, context, or Next.js. Still teaching class components from React 16. || Resolution: Complete overhaul of React curriculum to cover React 18 features"/>
    <s v="Academy"/>
    <x v="12"/>
    <n v="8"/>
    <s v="Complete"/>
    <s v="Solved"/>
    <s v="OK"/>
    <s v="OK"/>
    <s v="OK"/>
    <s v="Full Stack development track doesn't cover modern React patterns like hooks, context, or Next.js. Still teaching class components from React 16. || Resolution: Complete overhaul of React curriculum to cover React 18 features"/>
    <n v="20868"/>
    <s v="OK"/>
    <s v="RepeatedRemark"/>
    <n v="65.328611111151986"/>
    <s v="2025-33"/>
    <s v="2025-08"/>
    <s v="OK"/>
    <b v="1"/>
  </r>
  <r>
    <s v="75898165815"/>
    <s v="2025-08-13"/>
    <s v="18:48:37"/>
    <d v="2025-08-13T18:48:37"/>
    <s v="Carlos Martinez"/>
    <s v="2025-08-16"/>
    <s v="10:11:49"/>
    <d v="2025-08-16T10:11:49"/>
    <s v="Counselling Team - NPS"/>
    <s v="Counselling Team - NPS"/>
    <s v="Program &amp; Classroom (NPS)"/>
    <s v="9925445989"/>
    <s v="learner069@example.com"/>
    <s v="Weekend DevOps Jul25 timing (10 AM - 2 PM) conflicts with family time. Children's activities and household responsibilities suffer due to class schedule. || Resolution: Created flexible weekend options with shorter session formats"/>
    <s v="DSML"/>
    <x v="7"/>
    <n v="8"/>
    <s v="Complete"/>
    <s v="Solved"/>
    <s v="OK"/>
    <s v="OK"/>
    <s v="OK"/>
    <s v="Weekend DevOps Jul25 timing (10 AM - 2 PM) conflicts with family time. Children's activities and household responsibilities suffer due to class schedule. || Resolution: Created flexible weekend options with shorter session formats"/>
    <n v="21344"/>
    <s v="OK"/>
    <s v="RepeatedRemark"/>
    <n v="63.386666666774545"/>
    <s v="2025-33"/>
    <s v="2025-08"/>
    <s v="OK"/>
    <b v="1"/>
  </r>
  <r>
    <s v="75777895080"/>
    <s v="2025-08-05"/>
    <s v="17:04:19"/>
    <d v="2025-08-05T17:04:19"/>
    <s v="Carlos Martinez"/>
    <s v="2025-08-16"/>
    <s v="13:50:17"/>
    <d v="2025-08-16T13:50:17"/>
    <s v="Counselling Team - NPS"/>
    <s v="Counselling Team - NPS"/>
    <s v="Placement (NPS)"/>
    <s v="8940955281"/>
    <s v="learner070@example.com"/>
    <s v="Placement support limited to specific tech stacks learned in course. Want to explore adjacent technologies but placement team won't help. || Resolution: Expanded placement support to cover related MongoDB transitions"/>
    <s v="Academy"/>
    <x v="5"/>
    <n v="6"/>
    <s v="Complete"/>
    <s v="Solved"/>
    <s v="OK"/>
    <s v="OK"/>
    <s v="OK"/>
    <s v="Placement support limited to specific tech stacks learned in course. Want to explore adjacent technologies but placement team won't help. || Resolution: Expanded placement support to cover related MongoDB transitions"/>
    <n v="20668"/>
    <s v="OK"/>
    <s v="OK"/>
    <n v="260.76611111109378"/>
    <s v="2025-32"/>
    <s v="2025-08"/>
    <s v="Breach"/>
    <b v="1"/>
  </r>
  <r>
    <s v="75882897882"/>
    <s v="2025-09-09"/>
    <s v="18:41:12"/>
    <d v="2025-09-09T18:41:12"/>
    <s v="Amit Patel"/>
    <s v="2025-09-16"/>
    <s v="16:37:35"/>
    <d v="2025-09-16T16:37:35"/>
    <s v="Counselling Team - NPS"/>
    <s v="Counselling Team - NPS"/>
    <s v="Program &amp; Classroom (NPS)"/>
    <s v="9598480273"/>
    <s v="learner071@example.com"/>
    <s v="Instructor Mike Rodriguez Rajesh Kumar in AIML Jul25 Academy Jul25 Intermediate explains neural networks too fast. Yesterday's backpropagation session covered complex mathematics in 20 minutes without examples. When students ask questions, he just says 'check the slides'. Need detailed mathematical walkthrough. || Resolution: Arranged additional math tutorial sessions with TA support"/>
    <s v="Academy"/>
    <x v="6"/>
    <n v="2"/>
    <s v="Complete"/>
    <s v="Solved"/>
    <s v="OK"/>
    <s v="OK"/>
    <s v="OK"/>
    <s v="Instructor Mike Rodriguez Rajesh Kumar in AIML Jul25 Academy Jul25 Intermediate explains neural networks too fast. Yesterday's backpropagation session covered complex mathematics in 20 minutes without examples. When students ask questions, he just says 'check the slides'. Need detailed mathematical walkthrough. || Resolution: Arranged additional math tutorial sessions with TA support"/>
    <n v="36436"/>
    <s v="OK"/>
    <s v="OK"/>
    <n v="165.93972222221782"/>
    <s v="2025-37"/>
    <s v="2025-09"/>
    <s v="Breach"/>
    <b v="1"/>
  </r>
  <r>
    <s v="75941755366"/>
    <s v="2025-09-21"/>
    <s v="19:11:02"/>
    <d v="2025-09-21T19:11:02"/>
    <s v="David Wilson"/>
    <m/>
    <m/>
    <s v=""/>
    <s v="Counselling Team - NPS"/>
    <s v="Counselling Team - NPS"/>
    <s v="Tech (NPS)"/>
    <s v="8880157459"/>
    <s v="learner072@example.com"/>
    <s v="TA support only available during office hours. Working professionals need evening and weekend support for assignment debugging and concept clarification. || Resolution: Extended TA support hours to include evenings and Saturday coverage"/>
    <s v="Academy"/>
    <x v="4"/>
    <n v="4"/>
    <s v="Pending"/>
    <s v="Awaiting Action - Learner"/>
    <s v="OK"/>
    <s v="OK"/>
    <s v="OK"/>
    <s v="TA support only available during office hours. Working professionals need evening and weekend support for assignment debugging and concept clarification. || Resolution: Extended TA support hours to include evenings and Saturday coverage"/>
    <n v="22698"/>
    <s v="OK"/>
    <s v="RepeatedRemark"/>
    <e v="#N/A"/>
    <s v="2025-38"/>
    <s v="2025-09"/>
    <s v="Open"/>
    <b v="0"/>
  </r>
  <r>
    <s v="75470772317"/>
    <s v="2025-08-25"/>
    <s v="14:06:35"/>
    <d v="2025-08-25T14:06:35"/>
    <s v="Jessica Kim"/>
    <s v="2025-08-31"/>
    <s v="18:03:50"/>
    <d v="2025-08-31T18:03:50"/>
    <s v="Counselling Team - NPS"/>
    <s v="Counselling Team - NPS"/>
    <s v="Tech (NPS)"/>
    <s v="8220401982"/>
    <s v="learner073@example.com"/>
    <s v="TA support only available during office hours. Working professionals need evening and weekend support for assignment debugging and concept clarification. || Resolution: Extended TA support hours to include evenings and Saturday coverage"/>
    <s v="DevOps"/>
    <x v="4"/>
    <n v="10"/>
    <s v="Complete"/>
    <s v="Solved"/>
    <s v="OK"/>
    <s v="OK"/>
    <s v="OK"/>
    <s v="TA support only available during office hours. Working professionals need evening and weekend support for assignment debugging and concept clarification. || Resolution: Extended TA support hours to include evenings and Saturday coverage"/>
    <n v="22698"/>
    <s v="OK"/>
    <s v="RepeatedRemark"/>
    <n v="147.95416666654637"/>
    <s v="2025-35"/>
    <s v="2025-08"/>
    <s v="Breach"/>
    <b v="1"/>
  </r>
  <r>
    <s v="75538460786"/>
    <s v="2025-09-12"/>
    <s v="18:45:05"/>
    <d v="2025-09-12T18:45:05"/>
    <s v="Lisa Rodriguez"/>
    <s v="2025-09-18"/>
    <s v="13:41:44"/>
    <d v="2025-09-18T13:41:44"/>
    <s v="Counselling Team - NPS"/>
    <s v="Counselling Team - NPS"/>
    <s v="Placement (NPS)"/>
    <s v="9400552009"/>
    <s v="learner074@example.com"/>
    <s v="Resume highlighting DSML completion not attracting ML Engineer positions. Only getting data entry or analyst roles below skill level and salary expectations. || Resolution: Added ML portfolio projects and technical blog writing to demonstrate expertise"/>
    <s v="DSML"/>
    <x v="10"/>
    <n v="8"/>
    <s v="Complete"/>
    <s v="Solved"/>
    <s v="OK"/>
    <s v="OK"/>
    <s v="OK"/>
    <s v="Resume highlighting DSML completion not attracting ML Engineer positions. Only getting data entry or analyst roles below skill level and salary expectations. || Resolution: Added ML portfolio projects and technical blog writing to demonstrate expertise"/>
    <n v="24102"/>
    <s v="OK"/>
    <s v="RepeatedRemark"/>
    <n v="138.94416666665347"/>
    <s v="2025-37"/>
    <s v="2025-09"/>
    <s v="Breach"/>
    <b v="1"/>
  </r>
  <r>
    <s v="75945985356"/>
    <s v="2025-09-17"/>
    <s v="14:01:23"/>
    <d v="2025-09-17T14:01:23"/>
    <s v="Lisa Rodriguez"/>
    <m/>
    <m/>
    <s v=""/>
    <s v="Counselling Team - NPS"/>
    <s v="Counselling Team - NPS"/>
    <s v="Others (NPS)"/>
    <s v="7774223342"/>
    <s v="learner075@example.com"/>
    <s v="No code review feedback provided for assignments. Submitting working solutions but don't know if following best practices or industry standards. || Resolution: Introduced mandatory code review sessions with senior developers"/>
    <s v="Academy"/>
    <x v="0"/>
    <n v="6"/>
    <s v="Pending"/>
    <s v="In Progress"/>
    <s v="OK"/>
    <s v="OK"/>
    <s v="OK"/>
    <s v="No code review feedback provided for assignments. Submitting working solutions but don't know if following best practices or industry standards. || Resolution: Introduced mandatory code review sessions with senior developers"/>
    <n v="21754"/>
    <s v="OK"/>
    <s v="RepeatedRemark"/>
    <e v="#N/A"/>
    <s v="2025-38"/>
    <s v="2025-09"/>
    <s v="Open"/>
    <b v="0"/>
  </r>
  <r>
    <s v="75540712839"/>
    <s v="2025-08-09"/>
    <s v="18:24:09"/>
    <d v="2025-08-09T18:24:09"/>
    <s v="Priya Sharma"/>
    <m/>
    <m/>
    <s v=""/>
    <s v="Counselling Team - NPS"/>
    <s v="Counselling Team - NPS"/>
    <s v="Tech (NPS)"/>
    <s v="7776727492"/>
    <s v="learner076@example.com"/>
    <s v="Mentor scheduling conflicts with work hours. Only available 11 AM - 2 PM when I'm in office meetings. Need evening or weekend availability. || Resolution: Matched with mentor having flexible evening availability"/>
    <s v="Academy"/>
    <x v="9"/>
    <n v="2"/>
    <s v="Complete"/>
    <s v="Solved"/>
    <s v="OK"/>
    <s v="OK"/>
    <s v="OK"/>
    <s v="Mentor scheduling conflicts with work hours. Only available 11 AM - 2 PM when I'm in office meetings. Need evening or weekend availability. || Resolution: Matched with mentor having flexible evening availability"/>
    <n v="19482"/>
    <s v="OK"/>
    <s v="OK"/>
    <e v="#N/A"/>
    <s v="2025-32"/>
    <s v="2025-08"/>
    <s v="Open"/>
    <b v="0"/>
  </r>
  <r>
    <s v="75651258749"/>
    <s v="2025-08-24"/>
    <s v="17:15:19"/>
    <d v="2025-08-24T17:15:19"/>
    <s v="Carlos Martinez"/>
    <m/>
    <m/>
    <s v=""/>
    <s v="Counselling Team - NPS"/>
    <s v="Counselling Team - NPS"/>
    <s v="Program &amp; Classroom (NPS)"/>
    <s v="7833293142"/>
    <s v="learner077@example.com"/>
    <s v="No downloadable notes provided for complex topics. Difficult to review mathematical formulas and algorithms without written reference material. || Resolution: Created comprehensive downloadable study guides for all modules"/>
    <s v="DSML"/>
    <x v="11"/>
    <n v="3"/>
    <s v="Complete"/>
    <s v="Solved"/>
    <s v="OK"/>
    <s v="OK"/>
    <s v="OK"/>
    <s v="No downloadable notes provided for complex topics. Difficult to review mathematical formulas and algorithms without written reference material. || Resolution: Created comprehensive downloadable study guides for all modules"/>
    <n v="21599"/>
    <s v="OK"/>
    <s v="RepeatedRemark"/>
    <e v="#N/A"/>
    <s v="2025-34"/>
    <s v="2025-08"/>
    <s v="Open"/>
    <b v="0"/>
  </r>
  <r>
    <s v="75548604290"/>
    <s v="2025-09-19"/>
    <s v="13:03:41"/>
    <d v="2025-09-19T13:03:41"/>
    <s v="Carlos Martinez"/>
    <s v="2025-09-28"/>
    <s v="15:10:52"/>
    <d v="2025-09-28T15:10:52"/>
    <s v="Counselling Team - NPS"/>
    <s v="Counselling Team - NPS"/>
    <s v="Placement (NPS)"/>
    <s v="8594343845"/>
    <s v="learner078@example.com"/>
    <s v="Considering career break for higher studies (MS abroad). Need advice on timing, university selection, and maintaining professional network during studies. || Resolution: Provided comprehensive higher education guidance and alumni connections"/>
    <s v="AIML"/>
    <x v="3"/>
    <n v="6"/>
    <s v="Complete"/>
    <s v="Solved"/>
    <s v="OK"/>
    <s v="OK"/>
    <s v="OK"/>
    <s v="Considering career break for higher studies (MS abroad). Need advice on timing, university selection, and maintaining professional network during studies. || Resolution: Provided comprehensive higher education guidance and alumni connections"/>
    <n v="23075"/>
    <s v="OK"/>
    <s v="RepeatedRemark"/>
    <n v="218.11972222232725"/>
    <s v="2025-38"/>
    <s v="2025-09"/>
    <s v="Breach"/>
    <b v="1"/>
  </r>
  <r>
    <s v="75951208305"/>
    <s v="2025-08-06"/>
    <s v="11:53:27"/>
    <d v="2025-08-06T11:53:27"/>
    <s v="Mike Chen"/>
    <m/>
    <m/>
    <s v=""/>
    <s v="Counselling Team - NPS"/>
    <s v="Counselling Team - NPS"/>
    <s v="Placement (NPS)"/>
    <s v="7953645978"/>
    <s v="learner079@example.com"/>
    <s v="Getting interview calls but salary offers 40% below market rate. Companies lowball citing 'career change' despite strong technical performance. || Resolution: Provided salary negotiation training and market benchmarking data"/>
    <s v="DSML"/>
    <x v="8"/>
    <n v="4"/>
    <s v="Pending"/>
    <s v="Awaiting Action - Learner"/>
    <s v="OK"/>
    <s v="OK"/>
    <s v="OK"/>
    <s v="Getting interview calls but salary offers 40% below market rate. Companies lowball citing 'career change' despite strong technical performance. || Resolution: Provided salary negotiation training and market benchmarking data"/>
    <n v="21286"/>
    <s v="OK"/>
    <s v="OK"/>
    <e v="#N/A"/>
    <s v="2025-32"/>
    <s v="2025-08"/>
    <s v="Open"/>
    <b v="0"/>
  </r>
  <r>
    <s v="75641096660"/>
    <s v="2025-08-04"/>
    <s v="09:20:59"/>
    <d v="2025-08-04T09:20:59"/>
    <s v="Mike Chen"/>
    <s v="2025-08-10"/>
    <s v="12:24:05"/>
    <d v="2025-08-10T12:24:05"/>
    <s v="Counselling Team - NPS"/>
    <s v="Counselling Team - NPS"/>
    <s v="Program &amp; Classroom (NPS)"/>
    <s v="9791559885"/>
    <s v="learner080@example.com"/>
    <s v="Lecture slides contain only bullet points without detailed explanations. Need comprehensive notes for exam preparation and interview revision. || Resolution: Enhanced slides with detailed explanations and examples"/>
    <s v="DevOps"/>
    <x v="11"/>
    <n v="6"/>
    <s v="Complete"/>
    <s v="Solved"/>
    <s v="OK"/>
    <s v="OK"/>
    <s v="OK"/>
    <s v="Lecture slides contain only bullet points without detailed explanations. Need comprehensive notes for exam preparation and interview revision. || Resolution: Enhanced slides with detailed explanations and examples"/>
    <n v="20736"/>
    <s v="OK"/>
    <s v="RepeatedRemark"/>
    <n v="147.05166666669538"/>
    <s v="2025-32"/>
    <s v="2025-08"/>
    <s v="Breach"/>
    <b v="1"/>
  </r>
  <r>
    <s v="75485068029"/>
    <s v="2025-08-31"/>
    <s v="09:16:13"/>
    <d v="2025-08-31T09:16:13"/>
    <s v="Priya Sharma"/>
    <s v="2025-09-03"/>
    <s v="16:28:39"/>
    <d v="2025-09-03T16:28:39"/>
    <s v="Counselling Team - NPS"/>
    <s v="Counselling Team - NPS"/>
    <s v="Placement (NPS)"/>
    <s v="9357096258"/>
    <s v="learner081@example.com"/>
    <s v="Interested in startup environment but concerned about job security with family responsibilities. Need advice on evaluating startup opportunities vs established companies. || Resolution: Conducted detailed career counseling session on risk assessment and planning"/>
    <s v="Academy"/>
    <x v="3"/>
    <n v="3"/>
    <s v="Complete"/>
    <s v="Solved"/>
    <s v="OK"/>
    <s v="OK"/>
    <s v="OK"/>
    <s v="Interested in startup environment but concerned about job security with family responsibilities. Need advice on evaluating startup opportunities vs established companies. || Resolution: Conducted detailed career counseling session on risk assessment and planning"/>
    <n v="25613"/>
    <s v="OK"/>
    <s v="RepeatedRemark"/>
    <n v="79.207222222234122"/>
    <s v="2025-35"/>
    <s v="2025-08"/>
    <s v="Breach"/>
    <b v="1"/>
  </r>
  <r>
    <s v="75467438668"/>
    <s v="2025-08-20"/>
    <s v="10:53:57"/>
    <d v="2025-08-20T10:53:57"/>
    <s v="Carlos Martinez"/>
    <s v="2025-08-24"/>
    <s v="15:40:50"/>
    <d v="2025-08-24T15:40:50"/>
    <s v="Counselling Team - NPS"/>
    <s v="Counselling Team - NPS"/>
    <s v="Program &amp; Classroom (NPS)"/>
    <s v="9562974666"/>
    <s v="learner082@example.com"/>
    <s v="Evening AIML Aug25 starts at 7 PM when dinner time with family. Work-life balance getting affected due to late learning schedule. || Resolution: Introduced early evening slots (6-8 PM) based on demand"/>
    <s v="DSML"/>
    <x v="7"/>
    <n v="8"/>
    <s v="Complete"/>
    <s v="Solved"/>
    <s v="OK"/>
    <s v="OK"/>
    <s v="OK"/>
    <s v="Evening AIML Aug25 starts at 7 PM when dinner time with family. Work-life balance getting affected due to late learning schedule. || Resolution: Introduced early evening slots (6-8 PM) based on demand"/>
    <n v="18009"/>
    <s v="OK"/>
    <s v="RepeatedRemark"/>
    <n v="100.78138888883404"/>
    <s v="2025-34"/>
    <s v="2025-08"/>
    <s v="Breach"/>
    <b v="1"/>
  </r>
  <r>
    <s v="75847286055"/>
    <s v="2025-09-15"/>
    <s v="11:42:42"/>
    <d v="2025-09-15T11:42:42"/>
    <s v="Mike Chen"/>
    <s v="2025-09-22"/>
    <s v="09:39:22"/>
    <d v="2025-09-22T09:39:22"/>
    <s v="Counselling Team - NPS"/>
    <s v="Counselling Team - NPS"/>
    <s v="Placement (NPS)"/>
    <s v="9248349034"/>
    <s v="learner083@example.com"/>
    <s v="Appearing for interviews but consistently failing in system design rounds. Completed course but still struggle with scalability and architecture questions. || Resolution: Arranged advanced system design workshops with industry architects"/>
    <s v="AIML"/>
    <x v="8"/>
    <n v="7"/>
    <s v="Complete"/>
    <s v="Solved"/>
    <s v="OK"/>
    <s v="OK"/>
    <s v="OK"/>
    <s v="Appearing for interviews but consistently failing in system design rounds. Completed course but still struggle with scalability and architecture questions. || Resolution: Arranged advanced system design workshops with industry architects"/>
    <n v="23234"/>
    <s v="OK"/>
    <s v="RepeatedRemark"/>
    <n v="165.94444444449618"/>
    <s v="2025-38"/>
    <s v="2025-09"/>
    <s v="Breach"/>
    <b v="1"/>
  </r>
  <r>
    <s v="75819246503"/>
    <s v="2025-09-20"/>
    <s v="16:02:40"/>
    <d v="2025-09-20T16:02:40"/>
    <s v="Jessica Kim"/>
    <m/>
    <m/>
    <s v=""/>
    <s v="Counselling Team - NPS"/>
    <s v="Counselling Team - NPS"/>
    <s v="Placement (NPS)"/>
    <s v="8603321558"/>
    <s v="learner084@example.com"/>
    <s v="Want to transition from service-based to product companies but don't understand cultural and technical differences. Need guidance on preparation strategy. || Resolution: Connected with mentor who made similar transition and provided Zomato-specific prep"/>
    <s v="Academy"/>
    <x v="3"/>
    <n v="6"/>
    <s v="Pending"/>
    <s v="In Progress"/>
    <s v="OK"/>
    <s v="OK"/>
    <s v="OK"/>
    <s v="Want to transition from service-based to product companies but don't understand cultural and technical differences. Need guidance on preparation strategy. || Resolution: Connected with mentor who made similar transition and provided Zomato-specific prep"/>
    <n v="24335"/>
    <s v="OK"/>
    <s v="OK"/>
    <e v="#N/A"/>
    <s v="2025-38"/>
    <s v="2025-09"/>
    <s v="Open"/>
    <b v="0"/>
  </r>
  <r>
    <s v="75543247463"/>
    <s v="2025-08-23"/>
    <s v="09:22:34"/>
    <d v="2025-08-23T09:22:34"/>
    <s v="Amit Patel"/>
    <s v="2025-09-03"/>
    <s v="10:49:37"/>
    <d v="2025-09-03T10:49:37"/>
    <s v="Counselling Team - NPS"/>
    <s v="Counselling Team - NPS"/>
    <s v="Placement (NPS)"/>
    <s v="9760786161"/>
    <s v="learner085@example.com"/>
    <s v="Applied to 67 Data Science positions in 3 months but only 4 interview calls. Resume seems to fail ATS screening despite following Scaler format guidelines. || Resolution: Connected with placement team for ATS optimization and keyword analysis"/>
    <s v="DevOps"/>
    <x v="10"/>
    <n v="6"/>
    <s v="Complete"/>
    <s v="Awaiting Action - Scaler"/>
    <s v="OK"/>
    <s v="OK"/>
    <s v="OK"/>
    <s v="Applied to 67 Data Science positions in 3 months but only 4 interview calls. Resume seems to fail ATS screening despite following Scaler format guidelines. || Resolution: Connected with placement team for ATS optimization and keyword analysis"/>
    <n v="22620"/>
    <s v="OK"/>
    <s v="OK"/>
    <n v="265.45083333319053"/>
    <s v="2025-34"/>
    <s v="2025-08"/>
    <s v="Breach"/>
    <b v="1"/>
  </r>
  <r>
    <s v="75614179101"/>
    <s v="2025-08-05"/>
    <s v="09:20:59"/>
    <d v="2025-08-05T09:20:59"/>
    <s v="Lisa Rodriguez"/>
    <s v="2025-08-13"/>
    <s v="09:18:12"/>
    <d v="2025-08-13T09:18:12"/>
    <s v="Counselling Team - NPS"/>
    <s v="Counselling Team - NPS"/>
    <s v="Others (NPS)"/>
    <s v="9213555655"/>
    <s v="learner086@example.com"/>
    <s v="Holiday classes scheduled during Diwali week without considering festival commitments. Attendance drops to 30% affecting AIML Jul25 momentum. || Resolution: Rescheduled holiday periods and created festival-friendly calendar"/>
    <s v="Academy"/>
    <x v="1"/>
    <n v="4"/>
    <s v="Complete"/>
    <s v="Solved"/>
    <s v="OK"/>
    <s v="OK"/>
    <s v="OK"/>
    <s v="Holiday classes scheduled during Diwali week without considering festival commitments. Attendance drops to 30% affecting AIML Jul25 momentum. || Resolution: Rescheduled holiday periods and created festival-friendly calendar"/>
    <n v="21118"/>
    <s v="OK"/>
    <s v="RepeatedRemark"/>
    <n v="191.95361111109378"/>
    <s v="2025-32"/>
    <s v="2025-08"/>
    <s v="Breach"/>
    <b v="1"/>
  </r>
  <r>
    <s v="75829520110"/>
    <s v="2025-08-13"/>
    <s v="20:28:57"/>
    <d v="2025-08-13T20:28:57"/>
    <s v="Jessica Kim"/>
    <s v="2025-08-14"/>
    <s v="14:17:07"/>
    <d v="2025-08-14T14:17:07"/>
    <s v="Counselling Team - NPS"/>
    <s v="Counselling Team - NPS"/>
    <s v="Others (NPS)"/>
    <s v="8456151216"/>
    <s v="learner087@example.com"/>
    <s v="Real-time project deployment challenges not addressed in curriculum. Local development works but AWS deployment fails with configuration issues. || Resolution: Created deployment workshop series with hands-on troubleshooting"/>
    <s v="DevOps"/>
    <x v="0"/>
    <n v="8"/>
    <s v="Complete"/>
    <s v="Solved"/>
    <s v="OK"/>
    <s v="OK"/>
    <s v="OK"/>
    <s v="Real-time project deployment challenges not addressed in curriculum. Local development works but AWS deployment fails with configuration issues. || Resolution: Created deployment workshop series with hands-on troubleshooting"/>
    <n v="21801"/>
    <s v="OK"/>
    <s v="RepeatedRemark"/>
    <n v="17.802777777775191"/>
    <s v="2025-33"/>
    <s v="2025-08"/>
    <s v="OK"/>
    <b v="1"/>
  </r>
  <r>
    <s v="75985698675"/>
    <s v="2025-09-21"/>
    <s v="13:20:06"/>
    <d v="2025-09-21T13:20:06"/>
    <s v="Mike Chen"/>
    <s v="2025-09-28"/>
    <s v="10:27:38"/>
    <d v="2025-09-28T10:27:38"/>
    <s v="Counselling Team - NPS"/>
    <s v="Counselling Team - NPS"/>
    <s v="Others (NPS)"/>
    <s v="8408405265"/>
    <s v="learner088@example.com"/>
    <s v="Holiday classes scheduled during Diwali week without considering festival commitments. Attendance drops to 30% affecting DevOps Jul25 momentum. || Resolution: Rescheduled holiday periods and created festival-friendly calendar"/>
    <s v="AIML"/>
    <x v="1"/>
    <n v="7"/>
    <s v="Complete"/>
    <s v="Solved"/>
    <s v="OK"/>
    <s v="OK"/>
    <s v="OK"/>
    <s v="Holiday classes scheduled during Diwali week without considering festival commitments. Attendance drops to 30% affecting DevOps Jul25 momentum. || Resolution: Rescheduled holiday periods and created festival-friendly calendar"/>
    <n v="21420"/>
    <s v="OK"/>
    <s v="OK"/>
    <n v="165.12555555556901"/>
    <s v="2025-38"/>
    <s v="2025-09"/>
    <s v="Breach"/>
    <b v="1"/>
  </r>
  <r>
    <s v="75778557676"/>
    <s v="2025-09-15"/>
    <s v="18:27:17"/>
    <d v="2025-09-15T18:27:17"/>
    <s v="Sarah Johnson"/>
    <s v="2025-09-27"/>
    <s v="16:22:28"/>
    <d v="2025-09-27T16:22:28"/>
    <s v="Counselling Team - NPS"/>
    <s v="Counselling Team - NPS"/>
    <s v="Program &amp; Classroom (NPS)"/>
    <s v="7322299355"/>
    <s v="learner089@example.com"/>
    <s v="Audio-video sync issues during recorded playback. Instructor Lisa Chen's voice doesn't match lip movement by 2-3 seconds. Distracting during learning. || Resolution: Fixed encoding pipeline and re-processed affected recordings"/>
    <s v="Academy"/>
    <x v="13"/>
    <n v="6"/>
    <s v="Complete"/>
    <s v="Solved"/>
    <s v="OK"/>
    <s v="OK"/>
    <s v="OK"/>
    <s v="Audio-video sync issues during recorded playback. Instructor Lisa Chen's voice doesn't match lip movement by 2-3 seconds. Distracting during learning. || Resolution: Fixed encoding pipeline and re-processed affected recordings"/>
    <n v="21275"/>
    <s v="OK"/>
    <s v="OK"/>
    <n v="285.91972222225741"/>
    <s v="2025-38"/>
    <s v="2025-09"/>
    <s v="Breach"/>
    <b v="1"/>
  </r>
  <r>
    <s v="75437365109"/>
    <s v="2025-09-13"/>
    <s v="11:04:15"/>
    <d v="2025-09-13T11:04:15"/>
    <s v="Amit Patel"/>
    <s v="2025-09-14"/>
    <s v="11:54:38"/>
    <d v="2025-09-14T11:54:38"/>
    <s v="Counselling Team - NPS"/>
    <s v="Counselling Team - NPS"/>
    <s v="Program &amp; Classroom (NPS)"/>
    <s v="8555424924"/>
    <s v="learner090@example.com"/>
    <s v="Audio-video sync issues during recorded playback. Instructor Mike Rodriguez's voice doesn't match lip movement by 2-3 seconds. Distracting during learning. || Resolution: Fixed encoding pipeline and re-processed affected recordings"/>
    <s v="DSML"/>
    <x v="13"/>
    <n v="7"/>
    <s v="Complete"/>
    <s v="Solved"/>
    <s v="OK"/>
    <s v="OK"/>
    <s v="OK"/>
    <s v="Audio-video sync issues during recorded playback. Instructor Mike Rodriguez's voice doesn't match lip movement by 2-3 seconds. Distracting during learning. || Resolution: Fixed encoding pipeline and re-processed affected recordings"/>
    <n v="21845"/>
    <s v="OK"/>
    <s v="OK"/>
    <n v="24.839722222241107"/>
    <s v="2025-37"/>
    <s v="2025-09"/>
    <s v="OK"/>
    <b v="1"/>
  </r>
  <r>
    <s v="75547848992"/>
    <s v="2025-08-29"/>
    <s v="17:23:25"/>
    <d v="2025-08-29T17:23:25"/>
    <s v="Amit Patel"/>
    <m/>
    <m/>
    <s v=""/>
    <s v="Counselling Team - NPS"/>
    <s v="Counselling Team - NPS"/>
    <s v="Program &amp; Classroom (NPS)"/>
    <s v="8555424924"/>
    <s v="learner091@example.com"/>
    <s v="Capstone project requirements unclear and keep changing. Initially asked for web app, then data analysis, now ML model. Wasted 3 weeks on wrong direction. || Resolution: Standardized project requirements and assigned dedicated project coordinator"/>
    <s v="DSML"/>
    <x v="0"/>
    <n v="2"/>
    <s v="Pending"/>
    <s v="Awaiting Action - Learner"/>
    <s v="OK"/>
    <s v="OK"/>
    <s v="OK"/>
    <s v="Capstone project requirements unclear and keep changing. Initially asked for web app, then data analysis, now ML model. Wasted 3 weeks on wrong direction. || Resolution: Standardized project requirements and assigned dedicated project coordinator"/>
    <n v="23321"/>
    <s v="OK"/>
    <s v="RepeatedRemark"/>
    <e v="#N/A"/>
    <s v="2025-35"/>
    <s v="2025-08"/>
    <s v="Open"/>
    <b v="0"/>
  </r>
  <r>
    <s v="75879182105"/>
    <s v="2025-08-12"/>
    <s v="12:39:18"/>
    <d v="2025-08-12T12:39:18"/>
    <s v="Carlos Martinez"/>
    <s v="2025-08-19"/>
    <s v="17:07:16"/>
    <d v="2025-08-19T17:07:16"/>
    <s v="Counselling Team - NPS"/>
    <s v="Counselling Team - NPS"/>
    <s v="Placement (NPS)"/>
    <s v="7859759428"/>
    <s v="learner092@example.com"/>
    <s v="Applied to 43 DevOps positions but recruiters say experience looks theoretical. Need real production environment projects to demonstrate practical skills. || Resolution: Arranged internship-style capstone project with live infrastructure"/>
    <s v="DevOps"/>
    <x v="10"/>
    <n v="7"/>
    <s v="Complete"/>
    <s v="Solved"/>
    <s v="OK"/>
    <s v="OK"/>
    <s v="OK"/>
    <s v="Applied to 43 DevOps positions but recruiters say experience looks theoretical. Need real production environment projects to demonstrate practical skills. || Resolution: Arranged internship-style capstone project with live infrastructure"/>
    <n v="23075"/>
    <s v="OK"/>
    <s v="RepeatedRemark"/>
    <n v="172.46611111122184"/>
    <s v="2025-33"/>
    <s v="2025-08"/>
    <s v="Breach"/>
    <b v="1"/>
  </r>
  <r>
    <s v="75990554938"/>
    <s v="2025-09-15"/>
    <s v="17:18:57"/>
    <d v="2025-09-15T17:18:57"/>
    <s v="Lisa Rodriguez"/>
    <s v="2025-09-17"/>
    <s v="14:42:22"/>
    <d v="2025-09-17T14:42:22"/>
    <s v="Counselling Team - NPS"/>
    <s v="Counselling Team - NPS"/>
    <s v="Program &amp; Classroom (NPS)"/>
    <s v="7676479877"/>
    <s v="learner093@example.com"/>
    <s v="System Design course only teaches monolithic patterns. Microservices, event-driven architecture, and serverless barely mentioned. Need cloud-native design patterns. || Resolution: Expanding curriculum with 40 hours of distributed systems content"/>
    <s v="Academy"/>
    <x v="12"/>
    <n v="7"/>
    <s v="Complete"/>
    <s v="Solved"/>
    <s v="OK"/>
    <s v="OK"/>
    <s v="OK"/>
    <s v="System Design course only teaches monolithic patterns. Microservices, event-driven architecture, and serverless barely mentioned. Need cloud-native design patterns. || Resolution: Expanding curriculum with 40 hours of distributed systems content"/>
    <n v="23664"/>
    <s v="OK"/>
    <s v="RepeatedRemark"/>
    <n v="45.390277777682059"/>
    <s v="2025-38"/>
    <s v="2025-09"/>
    <s v="OK"/>
    <b v="1"/>
  </r>
  <r>
    <s v="75428222260"/>
    <s v="2025-08-13"/>
    <s v="14:35:36"/>
    <d v="2025-08-13T14:35:36"/>
    <s v="Amit Patel"/>
    <m/>
    <m/>
    <s v=""/>
    <s v="Counselling Team - NPS"/>
    <s v="Counselling Team - NPS"/>
    <s v="Program &amp; Classroom (NPS)"/>
    <s v="9007492791"/>
    <s v="learner094@example.com"/>
    <s v="Weekend Academy Jul25 Intermediate timing (10 AM - 2 PM) conflicts with family time. Children's activities and household responsibilities suffer due to class schedule. || Resolution: Created flexible weekend options with shorter session formats"/>
    <s v="DSML"/>
    <x v="7"/>
    <n v="6"/>
    <s v="Pending"/>
    <s v="Awaiting Action - Scaler"/>
    <s v="OK"/>
    <s v="OK"/>
    <s v="OK"/>
    <s v="Weekend Academy Jul25 Intermediate timing (10 AM - 2 PM) conflicts with family time. Children's activities and household responsibilities suffer due to class schedule. || Resolution: Created flexible weekend options with shorter session formats"/>
    <n v="22718"/>
    <s v="OK"/>
    <s v="RepeatedRemark"/>
    <e v="#N/A"/>
    <s v="2025-33"/>
    <s v="2025-08"/>
    <s v="Open"/>
    <b v="0"/>
  </r>
  <r>
    <s v="75534568604"/>
    <s v="2025-08-20"/>
    <s v="14:41:04"/>
    <d v="2025-08-20T14:41:04"/>
    <s v="Carlos Martinez"/>
    <s v="2025-09-01"/>
    <s v="16:33:26"/>
    <d v="2025-09-01T16:33:26"/>
    <s v="Counselling Team - NPS"/>
    <s v="Counselling Team - NPS"/>
    <s v="Program &amp; Classroom (NPS)"/>
    <s v="9000738353"/>
    <s v="learner095@example.com"/>
    <s v="Sales promised 100% job guarantee within 6 months but placement team says no such commitment exists. Feel misled about course outcomes. || Resolution: Clarified placement support terms and provided additional career assistance"/>
    <s v="DSML"/>
    <x v="2"/>
    <n v="2"/>
    <s v="Complete"/>
    <s v="Solved"/>
    <s v="OK"/>
    <s v="OK"/>
    <s v="OK"/>
    <s v="Sales promised 100% job guarantee within 6 months but placement team says no such commitment exists. Feel misled about course outcomes. || Resolution: Clarified placement support terms and provided additional career assistance"/>
    <n v="21446"/>
    <s v="OK"/>
    <s v="RepeatedRemark"/>
    <n v="289.87277777778218"/>
    <s v="2025-34"/>
    <s v="2025-08"/>
    <s v="Breach"/>
    <b v="1"/>
  </r>
  <r>
    <s v="75533316990"/>
    <s v="2025-09-10"/>
    <s v="17:09:19"/>
    <d v="2025-09-10T17:09:19"/>
    <s v="Priya Sharma"/>
    <s v="2025-09-13"/>
    <s v="15:32:58"/>
    <d v="2025-09-13T15:32:58"/>
    <s v="Counselling Team - NPS"/>
    <s v="Counselling Team - NPS"/>
    <s v="Program &amp; Classroom (NPS)"/>
    <s v="7695642802"/>
    <s v="learner096@example.com"/>
    <s v="Audio-video sync issues during recorded playback. Instructor Priya Patel's voice doesn't match lip movement by 2-3 seconds. Distracting during learning. || Resolution: Fixed encoding pipeline and re-processed affected recordings"/>
    <s v="Academy"/>
    <x v="13"/>
    <n v="6"/>
    <s v="Complete"/>
    <s v="In Progress"/>
    <s v="OK"/>
    <s v="OK"/>
    <s v="OK"/>
    <s v="Audio-video sync issues during recorded playback. Instructor Priya Patel's voice doesn't match lip movement by 2-3 seconds. Distracting during learning. || Resolution: Fixed encoding pipeline and re-processed affected recordings"/>
    <n v="21519"/>
    <s v="OK"/>
    <s v="OK"/>
    <n v="70.394166666548699"/>
    <s v="2025-37"/>
    <s v="2025-09"/>
    <s v="OK"/>
    <b v="1"/>
  </r>
  <r>
    <s v="75972817675"/>
    <s v="2025-08-06"/>
    <s v="10:32:41"/>
    <d v="2025-08-06T10:32:41"/>
    <s v="Priya Sharma"/>
    <s v="2025-08-17"/>
    <s v="17:17:08"/>
    <d v="2025-08-17T17:17:08"/>
    <s v="Counselling Team - NPS"/>
    <s v="Counselling Team - NPS"/>
    <s v="Placement (NPS)"/>
    <s v="9541797909"/>
    <s v="learner097@example.com"/>
    <s v="Planning to relocate from Bangalore to Pune for family reasons. Unclear about job market, salary differences, and Zomato options in Pune tech scene. || Resolution: Connected with local Pune-based mentors and provided market insights"/>
    <s v="DevOps"/>
    <x v="3"/>
    <n v="1"/>
    <s v="Complete"/>
    <s v="Solved"/>
    <s v="OK"/>
    <s v="OK"/>
    <s v="OK"/>
    <s v="Planning to relocate from Bangalore to Pune for family reasons. Unclear about job market, salary differences, and Zomato options in Pune tech scene. || Resolution: Connected with local Pune-based mentors and provided market insights"/>
    <n v="21836"/>
    <s v="OK"/>
    <s v="OK"/>
    <n v="270.74083333328599"/>
    <s v="2025-32"/>
    <s v="2025-08"/>
    <s v="Breach"/>
    <b v="1"/>
  </r>
  <r>
    <s v="75430465806"/>
    <s v="2025-09-16"/>
    <s v="10:02:41"/>
    <d v="2025-09-16T10:02:41"/>
    <s v="Sneha Reddy"/>
    <m/>
    <m/>
    <s v=""/>
    <s v="Counselling Team - NPS"/>
    <s v="Counselling Team - NPS"/>
    <s v="Placement (NPS)"/>
    <s v="8136688451"/>
    <s v="learner098@example.com"/>
    <s v="Placement team requires 2+ years experience but won't help freshers. Catch-22 situation where experience needed for placement but placement needed for experience. || Resolution: Launched fresh graduate placement track with entry-level focused companies"/>
    <s v="Academy"/>
    <x v="10"/>
    <n v="9"/>
    <s v="Pending"/>
    <s v="Awaiting Action - Learner"/>
    <s v="OK"/>
    <s v="OK"/>
    <s v="OK"/>
    <s v="Placement team requires 2+ years experience but won't help freshers. Catch-22 situation where experience needed for placement but placement needed for experience. || Resolution: Launched fresh graduate placement track with entry-level focused companies"/>
    <n v="23910"/>
    <s v="OK"/>
    <s v="RepeatedRemark"/>
    <e v="#N/A"/>
    <s v="2025-38"/>
    <s v="2025-09"/>
    <s v="Open"/>
    <b v="0"/>
  </r>
  <r>
    <s v="75918558050"/>
    <s v="2025-09-10"/>
    <s v="12:51:51"/>
    <d v="2025-09-10T12:51:51"/>
    <s v="Jessica Kim"/>
    <s v="2025-09-21"/>
    <s v="17:18:41"/>
    <d v="2025-09-21T17:18:41"/>
    <s v="Counselling Team - NPS"/>
    <s v="Counselling Team - NPS"/>
    <s v="Program &amp; Classroom (NPS)"/>
    <s v="8277468755"/>
    <s v="learner099@example.com"/>
    <s v="Screen sharing resolution too low during coding sessions. Can't read code examples on mobile device. Zoom compression makes text blurry. || Resolution: Upgraded streaming quality to 1080p and optimized for mobile viewing"/>
    <s v="DevOps"/>
    <x v="13"/>
    <n v="6"/>
    <s v="Complete"/>
    <s v="Solved"/>
    <s v="OK"/>
    <s v="OK"/>
    <s v="OK"/>
    <s v="Screen sharing resolution too low during coding sessions. Can't read code examples on mobile device. Zoom compression makes text blurry. || Resolution: Upgraded streaming quality to 1080p and optimized for mobile viewing"/>
    <n v="20792"/>
    <s v="OK"/>
    <s v="RepeatedRemark"/>
    <n v="268.44722222228302"/>
    <s v="2025-37"/>
    <s v="2025-09"/>
    <s v="Breach"/>
    <b v="1"/>
  </r>
  <r>
    <s v="75742863363"/>
    <s v="2025-08-27"/>
    <s v="20:55:22"/>
    <d v="2025-08-27T20:55:22"/>
    <s v="Jessica Kim"/>
    <s v="2025-08-31"/>
    <s v="14:38:09"/>
    <d v="2025-08-31T14:38:09"/>
    <s v="Counselling Team - NPS"/>
    <s v="Counselling Team - NPS"/>
    <s v="Tech (NPS)"/>
    <s v="7561636336"/>
    <s v="learner100@example.com"/>
    <s v="Teaching Assistant lacks depth in advanced topics. Can help with basic syntax but struggles with algorithm optimization and complexity analysis questions. || Resolution: Assigned senior TA with computer science background for advanced topic support"/>
    <s v="DevOps"/>
    <x v="4"/>
    <n v="1"/>
    <s v="Complete"/>
    <s v="Solved"/>
    <s v="OK"/>
    <s v="OK"/>
    <s v="OK"/>
    <s v="Teaching Assistant lacks depth in advanced topics. Can help with basic syntax but struggles with algorithm optimization and complexity analysis questions. || Resolution: Assigned senior TA with computer science background for advanced topic support"/>
    <n v="23927"/>
    <s v="OK"/>
    <s v="RepeatedRemark"/>
    <n v="89.713055555534083"/>
    <s v="2025-35"/>
    <s v="2025-08"/>
    <s v="Breach"/>
    <b v="1"/>
  </r>
  <r>
    <s v="75454337019"/>
    <s v="2025-08-21"/>
    <s v="13:24:55"/>
    <d v="2025-08-21T13:24:55"/>
    <s v="Sneha Reddy"/>
    <s v="2025-08-23"/>
    <s v="13:28:15"/>
    <d v="2025-08-23T13:28:15"/>
    <s v="Counselling Team - NPS"/>
    <s v="Counselling Team - NPS"/>
    <s v="Program &amp; Classroom (NPS)"/>
    <s v="8795875043"/>
    <s v="learner101@example.com"/>
    <s v="Told course would take 6 months but curriculum actually requires 10+ months for completion. Time commitment significantly underestimated. || Resolution: Updated course duration estimates and provided realistic timeline planning"/>
    <s v="AIML"/>
    <x v="2"/>
    <n v="5"/>
    <s v="Complete"/>
    <s v="Solved"/>
    <s v="OK"/>
    <s v="OK"/>
    <s v="OK"/>
    <s v="Told course would take 6 months but curriculum actually requires 10+ months for completion. Time commitment significantly underestimated. || Resolution: Updated course duration estimates and provided realistic timeline planning"/>
    <n v="21945"/>
    <s v="OK"/>
    <s v="RepeatedRemark"/>
    <n v="48.055555555620231"/>
    <s v="2025-34"/>
    <s v="2025-08"/>
    <s v="OK"/>
    <b v="1"/>
  </r>
  <r>
    <s v="75934047267"/>
    <s v="2025-08-21"/>
    <s v="09:05:25"/>
    <d v="2025-08-21T09:05:25"/>
    <s v="Rohit Gupta"/>
    <s v="2025-08-24"/>
    <s v="16:32:29"/>
    <d v="2025-08-24T16:32:29"/>
    <s v="Counselling Team - NPS"/>
    <s v="Counselling Team - NPS"/>
    <s v="Tech (NPS)"/>
    <s v="8963790638"/>
    <s v="learner102@example.com"/>
    <s v="Weekly mentor sessions rushed and superficial. Last call was 8 minutes discussing 6-month career roadmap. Need dedicated time for meaningful guidance. || Resolution: Increased minimum session duration to 30 minutes with structured agenda"/>
    <s v="DSML"/>
    <x v="9"/>
    <n v="2"/>
    <s v="Complete"/>
    <s v="Solved"/>
    <s v="OK"/>
    <s v="OK"/>
    <s v="OK"/>
    <s v="Weekly mentor sessions rushed and superficial. Last call was 8 minutes discussing 6-month career roadmap. Need dedicated time for meaningful guidance. || Resolution: Increased minimum session duration to 30 minutes with structured agenda"/>
    <n v="22452"/>
    <s v="OK"/>
    <s v="RepeatedRemark"/>
    <n v="79.451111111207865"/>
    <s v="2025-34"/>
    <s v="2025-08"/>
    <s v="Breach"/>
    <b v="1"/>
  </r>
  <r>
    <s v="75862705171"/>
    <s v="2025-08-04"/>
    <s v="11:56:16"/>
    <d v="2025-08-04T11:56:16"/>
    <s v="Amit Patel"/>
    <m/>
    <m/>
    <s v=""/>
    <s v="Counselling Team - NPS"/>
    <s v="Counselling Team - NPS"/>
    <s v="Program &amp; Classroom (NPS)"/>
    <s v="8731963069"/>
    <s v="learner103@example.com"/>
    <s v="Mentor doesn't understand non-tech background. As commerce graduate transitioning to data science, need someone who understands career pivot challenges. || Resolution: Assigned mentor with similar career transition background"/>
    <s v="Academy"/>
    <x v="9"/>
    <n v="8"/>
    <s v="Complete"/>
    <s v="Solved"/>
    <s v="OK"/>
    <s v="OK"/>
    <s v="OK"/>
    <s v="Mentor doesn't understand non-tech background. As commerce graduate transitioning to data science, need someone who understands career pivot challenges. || Resolution: Assigned mentor with similar career transition background"/>
    <n v="21673"/>
    <s v="OK"/>
    <s v="RepeatedRemark"/>
    <e v="#N/A"/>
    <s v="2025-32"/>
    <s v="2025-08"/>
    <s v="Open"/>
    <b v="0"/>
  </r>
  <r>
    <s v="75990404558"/>
    <s v="2025-09-05"/>
    <s v="13:52:39"/>
    <d v="2025-09-05T13:52:39"/>
    <s v="Sneha Reddy"/>
    <s v="2025-09-14"/>
    <s v="13:04:24"/>
    <d v="2025-09-14T13:04:24"/>
    <s v="Counselling Team - NPS"/>
    <s v="Counselling Team - NPS"/>
    <s v="Placement (NPS)"/>
    <s v="7510289448"/>
    <s v="learner104@example.com"/>
    <s v="Confused between Data Science and Machine Learning Engineer paths. Course covers both but unclear about day-to-day responsibilities and career progression in each field. || Resolution: Arranged informational interviews with professionals in both roles"/>
    <s v="DSML"/>
    <x v="3"/>
    <n v="2"/>
    <s v="Complete"/>
    <s v="Solved"/>
    <s v="OK"/>
    <s v="OK"/>
    <s v="OK"/>
    <s v="Confused between Data Science and Machine Learning Engineer paths. Course covers both but unclear about day-to-day responsibilities and career progression in each field. || Resolution: Arranged informational interviews with professionals in both roles"/>
    <n v="23965"/>
    <s v="OK"/>
    <s v="RepeatedRemark"/>
    <n v="215.19583333324408"/>
    <s v="2025-36"/>
    <s v="2025-09"/>
    <s v="Breach"/>
    <b v="1"/>
  </r>
  <r>
    <s v="75946666136"/>
    <s v="2025-09-05"/>
    <s v="15:32:02"/>
    <d v="2025-09-05T15:32:02"/>
    <s v="Sarah Johnson"/>
    <m/>
    <m/>
    <s v=""/>
    <s v="Counselling Team - NPS"/>
    <s v="Counselling Team - NPS"/>
    <s v="Others (NPS)"/>
    <s v="7167134213"/>
    <s v="learner105@example.com"/>
    <s v="Weekend AIML sessions run 5 hours straight (10 AM - 3 PM) without proper breaks. Exhausting for working parents with family commitments on weekends. || Resolution: Restructured to 3-hour sessions with 30-minute breaks every 90 minutes"/>
    <s v="AIML"/>
    <x v="1"/>
    <n v="6"/>
    <s v="Pending"/>
    <s v="Awaiting Action - Scaler"/>
    <s v="OK"/>
    <s v="OK"/>
    <s v="OK"/>
    <s v="Weekend AIML sessions run 5 hours straight (10 AM - 3 PM) without proper breaks. Exhausting for working parents with family commitments on weekends. || Resolution: Restructured to 3-hour sessions with 30-minute breaks every 90 minutes"/>
    <n v="21498"/>
    <s v="OK"/>
    <s v="RepeatedRemark"/>
    <e v="#N/A"/>
    <s v="2025-36"/>
    <s v="2025-09"/>
    <s v="Open"/>
    <b v="0"/>
  </r>
  <r>
    <s v="75574485243"/>
    <s v="2025-08-10"/>
    <s v="15:39:47"/>
    <d v="2025-08-10T15:39:47"/>
    <s v="Lisa Rodriguez"/>
    <s v="2025-08-19"/>
    <s v="11:20:59"/>
    <d v="2025-08-19T11:20:59"/>
    <s v="Counselling Team - NPS"/>
    <s v="Counselling Team - NPS"/>
    <s v="Others (NPS)"/>
    <s v="9550027973"/>
    <s v="learner106@example.com"/>
    <s v="Assignment deadlines clash with office project deliveries. Given 3 major assignments during typical sprint planning weeks. Need better coordination. || Resolution: Staggered assignment deadlines and provided extension options"/>
    <s v="DevOps"/>
    <x v="1"/>
    <n v="1"/>
    <s v="Complete"/>
    <s v="Solved"/>
    <s v="OK"/>
    <s v="OK"/>
    <s v="OK"/>
    <s v="Assignment deadlines clash with office project deliveries. Given 3 major assignments during typical sprint planning weeks. Need better coordination. || Resolution: Staggered assignment deadlines and provided extension options"/>
    <n v="21738"/>
    <s v="OK"/>
    <s v="RepeatedRemark"/>
    <n v="211.68666666682111"/>
    <s v="2025-32"/>
    <s v="2025-08"/>
    <s v="Breach"/>
    <b v="1"/>
  </r>
  <r>
    <s v="75428612164"/>
    <s v="2025-08-02"/>
    <s v="18:30:16"/>
    <d v="2025-08-02T18:30:16"/>
    <s v="Sneha Reddy"/>
    <s v="2025-08-13"/>
    <s v="10:26:37"/>
    <d v="2025-08-13T10:26:37"/>
    <s v="Counselling Team - NPS"/>
    <s v="Counselling Team - NPS"/>
    <s v="Placement (NPS)"/>
    <s v="9480920839"/>
    <s v="learner107@example.com"/>
    <s v="Considering career break for higher studies (MS abroad). Need advice on timing, university selection, and maintaining professional network during studies. || Resolution: Provided comprehensive higher education guidance and alumni connections"/>
    <s v="DevOps"/>
    <x v="3"/>
    <n v="2"/>
    <s v="Complete"/>
    <s v="Solved"/>
    <s v="OK"/>
    <s v="OK"/>
    <s v="OK"/>
    <s v="Considering career break for higher studies (MS abroad). Need advice on timing, university selection, and maintaining professional network during studies. || Resolution: Provided comprehensive higher education guidance and alumni connections"/>
    <n v="23075"/>
    <s v="OK"/>
    <s v="RepeatedRemark"/>
    <n v="255.9391666665324"/>
    <s v="2025-31"/>
    <s v="2025-08"/>
    <s v="Breach"/>
    <b v="1"/>
  </r>
  <r>
    <s v="75517999418"/>
    <s v="2025-09-03"/>
    <s v="12:01:28"/>
    <d v="2025-09-03T12:01:28"/>
    <s v="Amit Patel"/>
    <s v="2025-09-13"/>
    <s v="15:09:52"/>
    <d v="2025-09-13T15:09:52"/>
    <s v="Counselling Team - NPS"/>
    <s v="Counselling Team - NPS"/>
    <s v="Program &amp; Classroom (NPS)"/>
    <s v="8798647685"/>
    <s v="learner108@example.com"/>
    <s v="Assigned mentor Priya Sharma unresponsive to career queries for 3+ weeks. Sent 7 messages about transitioning from manual testing to automation but zero replies. || Resolution: Reassigned to senior automation mentor and implemented response time SLA"/>
    <s v="AIML"/>
    <x v="9"/>
    <n v="5"/>
    <s v="Complete"/>
    <s v="In Progress"/>
    <s v="OK"/>
    <s v="OK"/>
    <s v="OK"/>
    <s v="Assigned mentor Priya Sharma unresponsive to career queries for 3+ weeks. Sent 7 messages about transitioning from manual testing to automation but zero replies. || Resolution: Reassigned to senior automation mentor and implemented response time SLA"/>
    <n v="23745"/>
    <s v="OK"/>
    <s v="RepeatedRemark"/>
    <n v="243.14000000007218"/>
    <s v="2025-36"/>
    <s v="2025-09"/>
    <s v="Breach"/>
    <b v="1"/>
  </r>
  <r>
    <s v="75749019278"/>
    <s v="2025-09-19"/>
    <s v="19:30:33"/>
    <d v="2025-09-19T19:30:33"/>
    <s v="Jessica Kim"/>
    <s v="2025-09-27"/>
    <s v="09:45:08"/>
    <d v="2025-09-27T09:45:08"/>
    <s v="Counselling Team - NPS"/>
    <s v="Counselling Team - NPS"/>
    <s v="Others (NPS)"/>
    <s v="8347557120"/>
    <s v="learner109@example.com"/>
    <s v="Mentor calls scheduled during lunch hours (1-2 PM) when most professionals are in meetings. Need evening or early morning slots. || Resolution: Extended mentor availability to 7-9 PM weekday slots"/>
    <s v="AIML"/>
    <x v="1"/>
    <n v="5"/>
    <s v="Complete"/>
    <s v="Solved"/>
    <s v="OK"/>
    <s v="OK"/>
    <s v="OK"/>
    <s v="Mentor calls scheduled during lunch hours (1-2 PM) when most professionals are in meetings. Need evening or early morning slots. || Resolution: Extended mentor availability to 7-9 PM weekday slots"/>
    <n v="18147"/>
    <s v="OK"/>
    <s v="OK"/>
    <n v="182.24305555550382"/>
    <s v="2025-38"/>
    <s v="2025-09"/>
    <s v="Breach"/>
    <b v="1"/>
  </r>
  <r>
    <s v="75919884429"/>
    <s v="2025-09-13"/>
    <s v="12:15:17"/>
    <d v="2025-09-13T12:15:17"/>
    <s v="Rohit Gupta"/>
    <m/>
    <m/>
    <s v=""/>
    <s v="Counselling Team - NPS"/>
    <s v="Counselling Team - NPS"/>
    <s v="Others (NPS)"/>
    <s v="8282044148"/>
    <s v="learner110@example.com"/>
    <s v="Holiday classes scheduled during Diwali week without considering festival commitments. Attendance drops to 30% affecting DevOps Aug25 momentum. || Resolution: Rescheduled holiday periods and created festival-friendly calendar"/>
    <s v="DevOps"/>
    <x v="1"/>
    <n v="9"/>
    <s v="Pending"/>
    <s v="In Progress"/>
    <s v="OK"/>
    <s v="OK"/>
    <s v="OK"/>
    <s v="Holiday classes scheduled during Diwali week without considering festival commitments. Attendance drops to 30% affecting DevOps Aug25 momentum. || Resolution: Rescheduled holiday periods and created festival-friendly calendar"/>
    <n v="21406"/>
    <s v="OK"/>
    <s v="RepeatedRemark"/>
    <e v="#N/A"/>
    <s v="2025-37"/>
    <s v="2025-09"/>
    <s v="Open"/>
    <b v="0"/>
  </r>
  <r>
    <s v="75530861323"/>
    <s v="2025-09-14"/>
    <s v="18:43:34"/>
    <d v="2025-09-14T18:43:34"/>
    <s v="Jessica Kim"/>
    <s v="2025-09-20"/>
    <s v="16:22:35"/>
    <d v="2025-09-20T16:22:35"/>
    <s v="Counselling Team - NPS"/>
    <s v="Counselling Team - NPS"/>
    <s v="Tech (NPS)"/>
    <s v="8694503971"/>
    <s v="learner111@example.com"/>
    <s v="Career guidance sessions focus only on technical skills. No discussion about salary negotiation, Ola culture fit, or work-life balance considerations. || Resolution: Introduced holistic career coaching covering all professional aspects"/>
    <s v="DevOps"/>
    <x v="9"/>
    <n v="1"/>
    <s v="Complete"/>
    <s v="Solved"/>
    <s v="OK"/>
    <s v="OK"/>
    <s v="OK"/>
    <s v="Career guidance sessions focus only on technical skills. No discussion about salary negotiation, Ola culture fit, or work-life balance considerations. || Resolution: Introduced holistic career coaching covering all professional aspects"/>
    <n v="22595"/>
    <s v="OK"/>
    <s v="RepeatedRemark"/>
    <n v="141.65027777769137"/>
    <s v="2025-37"/>
    <s v="2025-09"/>
    <s v="Breach"/>
    <b v="1"/>
  </r>
  <r>
    <s v="75874997731"/>
    <s v="2025-08-19"/>
    <s v="19:16:47"/>
    <d v="2025-08-19T19:16:47"/>
    <s v="Carlos Martinez"/>
    <m/>
    <m/>
    <s v=""/>
    <s v="Counselling Team - NPS"/>
    <s v="Counselling Team - NPS"/>
    <s v="Program &amp; Classroom (NPS)"/>
    <s v="7919066362"/>
    <s v="learner112@example.com"/>
    <s v="Lecture slides contain only bullet points without detailed explanations. Need comprehensive notes for exam preparation and interview revision. || Resolution: Enhanced slides with detailed explanations and examples"/>
    <s v="DevOps"/>
    <x v="11"/>
    <n v="2"/>
    <s v="Pending"/>
    <s v="Awaiting Action - Scaler"/>
    <s v="OK"/>
    <s v="OK"/>
    <s v="OK"/>
    <s v="Lecture slides contain only bullet points without detailed explanations. Need comprehensive notes for exam preparation and interview revision. || Resolution: Enhanced slides with detailed explanations and examples"/>
    <n v="20736"/>
    <s v="OK"/>
    <s v="RepeatedRemark"/>
    <e v="#N/A"/>
    <s v="2025-34"/>
    <s v="2025-08"/>
    <s v="Open"/>
    <b v="0"/>
  </r>
  <r>
    <s v="75650006353"/>
    <s v="2025-08-09"/>
    <s v="09:06:26"/>
    <d v="2025-08-09T09:06:26"/>
    <s v="Amit Patel"/>
    <m/>
    <m/>
    <s v=""/>
    <s v="Counselling Team - NPS"/>
    <s v="Counselling Team - NPS"/>
    <s v="Placement (NPS)"/>
    <s v="9028959334"/>
    <s v="learner113@example.com"/>
    <s v="Career guidance sessions focus only on technical skills. No discussion about salary negotiation, Ola culture fit, or work-life balance considerations. || Resolution: Introduced holistic career coaching covering all professional aspects"/>
    <s v="Academy"/>
    <x v="9"/>
    <n v="4"/>
    <s v="Complete"/>
    <s v="Solved"/>
    <s v="OK"/>
    <s v="OK"/>
    <s v="OK"/>
    <s v="Career guidance sessions focus only on technical skills. No discussion about salary negotiation, Ola culture fit, or work-life balance considerations. || Resolution: Introduced holistic career coaching covering all professional aspects"/>
    <n v="22595"/>
    <s v="OK"/>
    <s v="RepeatedRemark"/>
    <e v="#N/A"/>
    <s v="2025-32"/>
    <s v="2025-08"/>
    <s v="Open"/>
    <b v="0"/>
  </r>
  <r>
    <s v="75744851196"/>
    <s v="2025-08-27"/>
    <s v="13:41:03"/>
    <d v="2025-08-27T13:41:03"/>
    <s v="Mike Chen"/>
    <s v="2025-09-04"/>
    <s v="16:41:12"/>
    <d v="2025-09-04T16:41:12"/>
    <s v="Counselling Team - NPS"/>
    <s v="Counselling Team - NPS"/>
    <s v="Program &amp; Classroom (NPS)"/>
    <s v="9801601713"/>
    <s v="learner114@example.com"/>
    <s v="System Design course only teaches monolithic patterns. Microservices, event-driven architecture, and serverless barely mentioned. Need cloud-native design patterns. || Resolution: Expanding curriculum with 40 hours of distributed systems content"/>
    <s v="DevOps"/>
    <x v="12"/>
    <n v="1"/>
    <s v="Complete"/>
    <s v="Solved"/>
    <s v="OK"/>
    <s v="OK"/>
    <s v="OK"/>
    <s v="System Design course only teaches monolithic patterns. Microservices, event-driven architecture, and serverless barely mentioned. Need cloud-native design patterns. || Resolution: Expanding curriculum with 40 hours of distributed systems content"/>
    <n v="23664"/>
    <s v="OK"/>
    <s v="RepeatedRemark"/>
    <n v="195.00250000006054"/>
    <s v="2025-35"/>
    <s v="2025-08"/>
    <s v="Breach"/>
    <b v="1"/>
  </r>
  <r>
    <s v="75588751681"/>
    <s v="2025-08-03"/>
    <s v="09:53:25"/>
    <d v="2025-08-03T09:53:25"/>
    <s v="Carlos Martinez"/>
    <m/>
    <m/>
    <s v=""/>
    <s v="Counselling Team - NPS"/>
    <s v="Counselling Team - NPS"/>
    <s v="Placement (NPS)"/>
    <s v="7800202342"/>
    <s v="learner115@example.com"/>
    <s v="Previous employment gap of 3 years due to child care responsibilities creates placement barrier. Returning mothers face additional discrimination. || Resolution: Partnered with diversity-focused companies supporting career restart initiatives"/>
    <s v="DSML"/>
    <x v="5"/>
    <n v="3"/>
    <s v="Pending"/>
    <s v="Awaiting Action - Scaler"/>
    <s v="OK"/>
    <s v="OK"/>
    <s v="OK"/>
    <s v="Previous employment gap of 3 years due to child care responsibilities creates placement barrier. Returning mothers face additional discrimination. || Resolution: Partnered with diversity-focused companies supporting career restart initiatives"/>
    <n v="23605"/>
    <s v="OK"/>
    <s v="RepeatedRemark"/>
    <e v="#N/A"/>
    <s v="2025-31"/>
    <s v="2025-08"/>
    <s v="Open"/>
    <b v="0"/>
  </r>
  <r>
    <s v="75941394238"/>
    <s v="2025-08-22"/>
    <s v="16:17:12"/>
    <d v="2025-08-22T16:17:12"/>
    <s v="Mike Chen"/>
    <s v="2025-09-02"/>
    <s v="17:33:31"/>
    <d v="2025-09-02T17:33:31"/>
    <s v="Counselling Team - NPS"/>
    <s v="Counselling Team - NPS"/>
    <s v="Program &amp; Classroom (NPS)"/>
    <s v="8420277403"/>
    <s v="learner116@example.com"/>
    <s v="Evening Academy Jul25 Intermediate starts at 7 PM when dinner time with family. Work-life balance getting affected due to late learning schedule. || Resolution: Introduced early evening slots (6-8 PM) based on demand"/>
    <s v="AIML"/>
    <x v="7"/>
    <n v="9"/>
    <s v="Complete"/>
    <s v="Solved"/>
    <s v="OK"/>
    <s v="OK"/>
    <s v="OK"/>
    <s v="Evening Academy Jul25 Intermediate starts at 7 PM when dinner time with family. Work-life balance getting affected due to late learning schedule. || Resolution: Introduced early evening slots (6-8 PM) based on demand"/>
    <n v="19699"/>
    <s v="OK"/>
    <s v="OK"/>
    <n v="265.27194444439374"/>
    <s v="2025-34"/>
    <s v="2025-08"/>
    <s v="Breach"/>
    <b v="1"/>
  </r>
  <r>
    <s v="75588436227"/>
    <s v="2025-09-17"/>
    <s v="18:54:40"/>
    <d v="2025-09-17T18:54:40"/>
    <s v="Jessica Kim"/>
    <s v="2025-09-22"/>
    <s v="18:43:48"/>
    <d v="2025-09-22T18:43:48"/>
    <s v="Counselling Team - NPS"/>
    <s v="Counselling Team - NPS"/>
    <s v="Others (NPS)"/>
    <s v="8836971472"/>
    <s v="learner117@example.com"/>
    <s v="Holiday classes scheduled during Diwali week without considering festival commitments. Attendance drops to 30% affecting Academy Jul25 Beginner momentum. || Resolution: Rescheduled holiday periods and created festival-friendly calendar"/>
    <s v="AIML"/>
    <x v="1"/>
    <n v="1"/>
    <s v="Complete"/>
    <s v="Solved"/>
    <s v="OK"/>
    <s v="OK"/>
    <s v="OK"/>
    <s v="Holiday classes scheduled during Diwali week without considering festival commitments. Attendance drops to 30% affecting Academy Jul25 Beginner momentum. || Resolution: Rescheduled holiday periods and created festival-friendly calendar"/>
    <n v="22361"/>
    <s v="OK"/>
    <s v="OK"/>
    <n v="119.81888888898538"/>
    <s v="2025-38"/>
    <s v="2025-09"/>
    <s v="Breach"/>
    <b v="1"/>
  </r>
  <r>
    <s v="75407333788"/>
    <s v="2025-08-07"/>
    <s v="13:24:15"/>
    <d v="2025-08-07T13:24:15"/>
    <s v="Carlos Martinez"/>
    <s v="2025-08-10"/>
    <s v="16:20:59"/>
    <d v="2025-08-10T16:20:59"/>
    <s v="Counselling Team - NPS"/>
    <s v="Counselling Team - NPS"/>
    <s v="Placement (NPS)"/>
    <s v="8146731886"/>
    <s v="learner118@example.com"/>
    <s v="Multiple interview rounds cleared but final selection goes to internal referrals. External candidates seem disadvantaged despite equal performance. || Resolution: Expanded alumni network for referral opportunities and insider advocacy"/>
    <s v="AIML"/>
    <x v="8"/>
    <n v="1"/>
    <s v="Complete"/>
    <s v="Solved"/>
    <s v="OK"/>
    <s v="OK"/>
    <s v="OK"/>
    <s v="Multiple interview rounds cleared but final selection goes to internal referrals. External candidates seem disadvantaged despite equal performance. || Resolution: Expanded alumni network for referral opportunities and insider advocacy"/>
    <n v="22764"/>
    <s v="OK"/>
    <s v="RepeatedRemark"/>
    <n v="74.945555555575993"/>
    <s v="2025-32"/>
    <s v="2025-08"/>
    <s v="Breach"/>
    <b v="1"/>
  </r>
  <r>
    <s v="75899714064"/>
    <s v="2025-08-01"/>
    <s v="13:10:25"/>
    <d v="2025-08-01T13:10:25"/>
    <s v="Rohit Gupta"/>
    <m/>
    <m/>
    <s v=""/>
    <s v="Counselling Team - NPS"/>
    <s v="Counselling Team - NPS"/>
    <s v="Placement (NPS)"/>
    <s v="8335640103"/>
    <s v="learner119@example.com"/>
    <s v="Considering freelancing transition after 8 years in corporate. Need guidance on building client base, pricing projects, and managing business aspects. || Resolution: Introduced to successful freelancer mentor and provided business setup guidance"/>
    <s v="Academy"/>
    <x v="3"/>
    <n v="2"/>
    <s v="Complete"/>
    <s v="Solved"/>
    <s v="OK"/>
    <s v="OK"/>
    <s v="OK"/>
    <s v="Considering freelancing transition after 8 years in corporate. Need guidance on building client base, pricing projects, and managing business aspects. || Resolution: Introduced to successful freelancer mentor and provided business setup guidance"/>
    <n v="23492"/>
    <s v="OK"/>
    <s v="RepeatedRemark"/>
    <e v="#N/A"/>
    <s v="2025-31"/>
    <s v="2025-08"/>
    <s v="Open"/>
    <b v="0"/>
  </r>
  <r>
    <s v="75888529624"/>
    <s v="2025-08-15"/>
    <s v="20:38:23"/>
    <d v="2025-08-15T20:38:23"/>
    <s v="Jessica Kim"/>
    <m/>
    <m/>
    <s v=""/>
    <s v="Counselling Team - NPS"/>
    <s v="Counselling Team - NPS"/>
    <s v="Program &amp; Classroom (NPS)"/>
    <s v="9358944233"/>
    <s v="learner120@example.com"/>
    <s v="Weekend AIML Aug25 timing (10 AM - 2 PM) conflicts with family time. Children's activities and household responsibilities suffer due to class schedule. || Resolution: Created flexible weekend options with shorter session formats"/>
    <s v="AIML"/>
    <x v="7"/>
    <n v="7"/>
    <s v="Pending"/>
    <s v="Awaiting Action - Learner"/>
    <s v="OK"/>
    <s v="OK"/>
    <s v="OK"/>
    <s v="Weekend AIML Aug25 timing (10 AM - 2 PM) conflicts with family time. Children's activities and household responsibilities suffer due to class schedule. || Resolution: Created flexible weekend options with shorter session formats"/>
    <n v="21028"/>
    <s v="OK"/>
    <s v="RepeatedRemark"/>
    <e v="#N/A"/>
    <s v="2025-33"/>
    <s v="2025-08"/>
    <s v="Open"/>
    <b v="0"/>
  </r>
  <r>
    <s v="75520483278"/>
    <s v="2025-09-20"/>
    <s v="09:53:35"/>
    <d v="2025-09-20T09:53:35"/>
    <s v="Rohit Gupta"/>
    <s v="2025-09-28"/>
    <s v="17:45:23"/>
    <d v="2025-09-28T17:45:23"/>
    <s v="Counselling Team - NPS"/>
    <s v="Counselling Team - NPS"/>
    <s v="Others (NPS)"/>
    <s v="7868256753"/>
    <s v="learner121@example.com"/>
    <s v="Multiple TAs provide conflicting solutions for same problem. Creates confusion about best practices and correct approach for implementation. || Resolution: Implemented TA training program and standardized solution guidelines"/>
    <s v="Academy"/>
    <x v="4"/>
    <n v="2"/>
    <s v="Complete"/>
    <s v="Solved"/>
    <s v="OK"/>
    <s v="OK"/>
    <s v="OK"/>
    <s v="Multiple TAs provide conflicting solutions for same problem. Creates confusion about best practices and correct approach for implementation. || Resolution: Implemented TA training program and standardized solution guidelines"/>
    <n v="21698"/>
    <s v="OK"/>
    <s v="RepeatedRemark"/>
    <n v="199.86333333340008"/>
    <s v="2025-38"/>
    <s v="2025-09"/>
    <s v="Breach"/>
    <b v="1"/>
  </r>
  <r>
    <s v="75459738492"/>
    <s v="2025-08-29"/>
    <s v="16:08:32"/>
    <d v="2025-08-29T16:08:32"/>
    <s v="Jessica Kim"/>
    <s v="2025-09-02"/>
    <s v="18:31:05"/>
    <d v="2025-09-02T18:31:05"/>
    <s v="Counselling Team - NPS"/>
    <s v="Counselling Team - NPS"/>
    <s v="Placement (NPS)"/>
    <s v="8961934510"/>
    <s v="learner122@example.com"/>
    <s v="Placement team requires 2+ years experience but won't help freshers. Catch-22 situation where experience needed for placement but placement needed for experience. || Resolution: Launched fresh graduate placement track with entry-level focused companies"/>
    <s v="DSML"/>
    <x v="5"/>
    <n v="1"/>
    <s v="Complete"/>
    <s v="Solved"/>
    <s v="OK"/>
    <s v="OK"/>
    <s v="OK"/>
    <s v="Placement team requires 2+ years experience but won't help freshers. Catch-22 situation where experience needed for placement but placement needed for experience. || Resolution: Launched fresh graduate placement track with entry-level focused companies"/>
    <n v="23910"/>
    <s v="OK"/>
    <s v="RepeatedRemark"/>
    <n v="98.375833333237097"/>
    <s v="2025-35"/>
    <s v="2025-08"/>
    <s v="Breach"/>
    <b v="1"/>
  </r>
  <r>
    <s v="75633969748"/>
    <s v="2025-09-21"/>
    <s v="18:04:02"/>
    <d v="2025-09-21T18:04:02"/>
    <s v="Jessica Kim"/>
    <s v="2025-09-22"/>
    <s v="15:16:52"/>
    <d v="2025-09-22T15:16:52"/>
    <s v="Counselling Team - NPS"/>
    <s v="Counselling Team - NPS"/>
    <s v="Placement (NPS)"/>
    <s v="8479740208"/>
    <s v="learner123@example.com"/>
    <s v="Placement eligibility criteria require 70%+ in graduation but scored 68% due to family financial crisis during college. Seems unfair exclusion. || Resolution: Reviewed eligibility criteria and created exception process for genuine hardship cases"/>
    <s v="Academy"/>
    <x v="5"/>
    <n v="4"/>
    <s v="Complete"/>
    <s v="Solved"/>
    <s v="OK"/>
    <s v="OK"/>
    <s v="OK"/>
    <s v="Placement eligibility criteria require 70%+ in graduation but scored 68% due to family financial crisis during college. Seems unfair exclusion. || Resolution: Reviewed eligibility criteria and created exception process for genuine hardship cases"/>
    <n v="23171"/>
    <s v="OK"/>
    <s v="RepeatedRemark"/>
    <n v="21.213888888945803"/>
    <s v="2025-38"/>
    <s v="2025-09"/>
    <s v="OK"/>
    <b v="1"/>
  </r>
  <r>
    <s v="75802074351"/>
    <s v="2025-08-03"/>
    <s v="15:28:55"/>
    <d v="2025-08-03T15:28:55"/>
    <s v="Jessica Kim"/>
    <s v="2025-08-06"/>
    <s v="11:49:41"/>
    <d v="2025-08-06T11:49:41"/>
    <s v="Counselling Team - NPS"/>
    <s v="Counselling Team - NPS"/>
    <s v="Program &amp; Classroom (NPS)"/>
    <s v="8613385303"/>
    <s v="learner124@example.com"/>
    <s v="Weekend DSML Aug25 timing (10 AM - 2 PM) conflicts with family time. Children's activities and household responsibilities suffer due to class schedule. || Resolution: Created flexible weekend options with shorter session formats"/>
    <s v="DSML"/>
    <x v="7"/>
    <n v="3"/>
    <s v="Complete"/>
    <s v="Solved"/>
    <s v="OK"/>
    <s v="OK"/>
    <s v="OK"/>
    <s v="Weekend DSML Aug25 timing (10 AM - 2 PM) conflicts with family time. Children's activities and household responsibilities suffer due to class schedule. || Resolution: Created flexible weekend options with shorter session formats"/>
    <n v="21041"/>
    <s v="OK"/>
    <s v="OK"/>
    <n v="68.346111111051869"/>
    <s v="2025-31"/>
    <s v="2025-08"/>
    <s v="OK"/>
    <b v="1"/>
  </r>
  <r>
    <s v="75720364823"/>
    <s v="2025-09-04"/>
    <s v="16:43:46"/>
    <d v="2025-09-04T16:43:46"/>
    <s v="Rohit Gupta"/>
    <s v="2025-09-07"/>
    <s v="12:53:00"/>
    <d v="2025-09-07T12:53:00"/>
    <s v="Counselling Team - NPS"/>
    <s v="Counselling Team - NPS"/>
    <s v="Program &amp; Classroom (NPS)"/>
    <s v="8821616017"/>
    <s v="learner125@example.com"/>
    <s v="System Design course only teaches monolithic patterns. Microservices, event-driven architecture, and serverless barely mentioned. Need cloud-native design patterns. || Resolution: Expanding curriculum with 40 hours of distributed systems content"/>
    <s v="Academy"/>
    <x v="12"/>
    <n v="3"/>
    <s v="Complete"/>
    <s v="Solved"/>
    <s v="OK"/>
    <s v="OK"/>
    <s v="OK"/>
    <s v="System Design course only teaches monolithic patterns. Microservices, event-driven architecture, and serverless barely mentioned. Need cloud-native design patterns. || Resolution: Expanding curriculum with 40 hours of distributed systems content"/>
    <n v="23664"/>
    <s v="OK"/>
    <s v="RepeatedRemark"/>
    <n v="68.153888888948131"/>
    <s v="2025-36"/>
    <s v="2025-09"/>
    <s v="OK"/>
    <b v="1"/>
  </r>
  <r>
    <s v="75416799547"/>
    <s v="2025-08-23"/>
    <s v="12:13:04"/>
    <d v="2025-08-23T12:13:04"/>
    <s v="Mike Chen"/>
    <s v="2025-08-27"/>
    <s v="10:02:51"/>
    <d v="2025-08-27T10:02:51"/>
    <s v="Counselling Team - NPS"/>
    <s v="Counselling Team - NPS"/>
    <s v="Placement (NPS)"/>
    <s v="9550970716"/>
    <s v="learner126@example.com"/>
    <s v="Contract/freelance offers available but seeking permanent positions with benefits and job security. Market seems tilted toward gig work. || Resolution: Targeted Microsoft outreach focusing on full-time opportunity pipeline"/>
    <s v="DSML"/>
    <x v="8"/>
    <n v="1"/>
    <s v="Complete"/>
    <s v="Solved"/>
    <s v="OK"/>
    <s v="OK"/>
    <s v="OK"/>
    <s v="Contract/freelance offers available but seeking permanent positions with benefits and job security. Market seems tilted toward gig work. || Resolution: Targeted Microsoft outreach focusing on full-time opportunity pipeline"/>
    <n v="21503"/>
    <s v="OK"/>
    <s v="RepeatedRemark"/>
    <n v="93.829722222348209"/>
    <s v="2025-34"/>
    <s v="2025-08"/>
    <s v="Breach"/>
    <b v="1"/>
  </r>
  <r>
    <s v="75460606325"/>
    <s v="2025-08-04"/>
    <s v="11:32:18"/>
    <d v="2025-08-04T11:32:18"/>
    <s v="David Wilson"/>
    <s v="2025-08-05"/>
    <s v="15:28:14"/>
    <d v="2025-08-05T15:28:14"/>
    <s v="Counselling Team - NPS"/>
    <s v="Counselling Team - NPS"/>
    <s v="Program &amp; Classroom (NPS)"/>
    <s v="9474375067"/>
    <s v="learner127@example.com"/>
    <s v="Teaching pace in Data Structures class is inconsistent. Some days covers 3 algorithms, other days struggles with basic concepts. No structured lesson planning visible. || Resolution: Introduced standardized lesson plans with time allocations"/>
    <s v="AIML"/>
    <x v="6"/>
    <n v="5"/>
    <s v="Complete"/>
    <s v="Solved"/>
    <s v="OK"/>
    <s v="OK"/>
    <s v="OK"/>
    <s v="Teaching pace in Data Structures class is inconsistent. Some days covers 3 algorithms, other days struggles with basic concepts. No structured lesson planning visible. || Resolution: Introduced standardized lesson plans with time allocations"/>
    <n v="23107"/>
    <s v="OK"/>
    <s v="RepeatedRemark"/>
    <n v="27.932222222210839"/>
    <s v="2025-32"/>
    <s v="2025-08"/>
    <s v="OK"/>
    <b v="1"/>
  </r>
  <r>
    <s v="75858703133"/>
    <s v="2025-09-12"/>
    <s v="17:31:03"/>
    <d v="2025-09-12T17:31:03"/>
    <s v="Amit Patel"/>
    <s v="2025-09-19"/>
    <s v="13:17:03"/>
    <d v="2025-09-19T13:17:03"/>
    <s v="Counselling Team - NPS"/>
    <s v="Counselling Team - NPS"/>
    <s v="Placement (NPS)"/>
    <s v="9763021449"/>
    <s v="learner128@example.com"/>
    <s v="Want to pursue management track vs staying technical. Currently team lead but unsure about MBA requirements and career progression options. || Resolution: Arranged sessions with both technical architects and engineering managers"/>
    <s v="AIML"/>
    <x v="3"/>
    <n v="8"/>
    <s v="Complete"/>
    <s v="Solved"/>
    <s v="OK"/>
    <s v="OK"/>
    <s v="OK"/>
    <s v="Want to pursue management track vs staying technical. Currently team lead but unsure about MBA requirements and career progression options. || Resolution: Arranged sessions with both technical architects and engineering managers"/>
    <n v="21946"/>
    <s v="OK"/>
    <s v="RepeatedRemark"/>
    <n v="163.76666666666279"/>
    <s v="2025-37"/>
    <s v="2025-09"/>
    <s v="Breach"/>
    <b v="1"/>
  </r>
  <r>
    <s v="75658737619"/>
    <s v="2025-08-27"/>
    <s v="12:19:54"/>
    <d v="2025-08-27T12:19:54"/>
    <s v="Priya Sharma"/>
    <s v="2025-09-01"/>
    <s v="15:11:48"/>
    <d v="2025-09-01T15:11:48"/>
    <s v="Counselling Team - NPS"/>
    <s v="Counselling Team - NPS"/>
    <s v="Others (NPS)"/>
    <s v="8988677919"/>
    <s v="learner129@example.com"/>
    <s v="Audio-video sync issues during recorded playback. Instructor Ravi Sharma's voice doesn't match lip movement by 2-3 seconds. Distracting during learning. || Resolution: Fixed encoding pipeline and re-processed affected recordings"/>
    <s v="DSML"/>
    <x v="13"/>
    <n v="6"/>
    <s v="Complete"/>
    <s v="Solved"/>
    <s v="OK"/>
    <s v="OK"/>
    <s v="OK"/>
    <s v="Audio-video sync issues during recorded playback. Instructor Ravi Sharma's voice doesn't match lip movement by 2-3 seconds. Distracting during learning. || Resolution: Fixed encoding pipeline and re-processed affected recordings"/>
    <n v="21506"/>
    <s v="OK"/>
    <s v="OK"/>
    <n v="122.86500000004889"/>
    <s v="2025-35"/>
    <s v="2025-08"/>
    <s v="Breach"/>
    <b v="1"/>
  </r>
  <r>
    <s v="75882954920"/>
    <s v="2025-08-09"/>
    <s v="14:05:34"/>
    <d v="2025-08-09T14:05:34"/>
    <s v="David Wilson"/>
    <s v="2025-08-14"/>
    <s v="12:21:41"/>
    <d v="2025-08-14T12:21:41"/>
    <s v="Counselling Team - NPS"/>
    <s v="Counselling Team - NPS"/>
    <s v="Program &amp; Classroom (NPS)"/>
    <s v="7221348142"/>
    <s v="learner130@example.com"/>
    <s v="Instructor Amit Gupta Amit Gupta doesn't prepare well for classes. Frequently says 'I'll get back to you' for basic SQL queries. Students lose confidence in course quality. || Resolution: Implemented mandatory instructor preparation reviews"/>
    <s v="Academy"/>
    <x v="6"/>
    <n v="5"/>
    <s v="Complete"/>
    <s v="Solved"/>
    <s v="OK"/>
    <s v="OK"/>
    <s v="OK"/>
    <s v="Instructor Amit Gupta Amit Gupta doesn't prepare well for classes. Frequently says 'I'll get back to you' for basic SQL queries. Students lose confidence in course quality. || Resolution: Implemented mandatory instructor preparation reviews"/>
    <n v="22676"/>
    <s v="OK"/>
    <s v="OK"/>
    <n v="118.26861111115431"/>
    <s v="2025-32"/>
    <s v="2025-08"/>
    <s v="Breach"/>
    <b v="1"/>
  </r>
  <r>
    <s v="75757517705"/>
    <s v="2025-08-05"/>
    <s v="13:58:00"/>
    <d v="2025-08-05T13:58:00"/>
    <s v="David Wilson"/>
    <s v="2025-08-15"/>
    <s v="17:13:30"/>
    <d v="2025-08-15T17:13:30"/>
    <s v="Counselling Team - NPS"/>
    <s v="Counselling Team - NPS"/>
    <s v="Placement (NPS)"/>
    <s v="7816145550"/>
    <s v="learner131@example.com"/>
    <s v="Transitioning from mechanical engineering to software development. Resume lacks relevant projects and recruiters doubt career change authenticity. || Resolution: Created transition portfolio with domain-crossover projects"/>
    <s v="AIML"/>
    <x v="10"/>
    <n v="1"/>
    <s v="Complete"/>
    <s v="Solved"/>
    <s v="OK"/>
    <s v="OK"/>
    <s v="OK"/>
    <s v="Transitioning from mechanical engineering to software development. Resume lacks relevant projects and recruiters doubt career change authenticity. || Resolution: Created transition portfolio with domain-crossover projects"/>
    <n v="21704"/>
    <s v="OK"/>
    <s v="RepeatedRemark"/>
    <n v="243.25833333330229"/>
    <s v="2025-32"/>
    <s v="2025-08"/>
    <s v="Breach"/>
    <b v="1"/>
  </r>
  <r>
    <s v="75703932500"/>
    <s v="2025-08-26"/>
    <s v="15:29:34"/>
    <d v="2025-08-26T15:29:34"/>
    <s v="Amit Patel"/>
    <m/>
    <m/>
    <s v=""/>
    <s v="Counselling Team - NPS"/>
    <s v="Counselling Team - NPS"/>
    <s v="Program &amp; Classroom (NPS)"/>
    <s v="8324663629"/>
    <s v="learner132@example.com"/>
    <s v="Weekend AIML Aug25 timing (10 AM - 2 PM) conflicts with family time. Children's activities and household responsibilities suffer due to class schedule. || Resolution: Created flexible weekend options with shorter session formats"/>
    <s v="DevOps"/>
    <x v="7"/>
    <n v="6"/>
    <s v="Pending"/>
    <s v="In Progress"/>
    <s v="OK"/>
    <s v="OK"/>
    <s v="OK"/>
    <s v="Weekend AIML Aug25 timing (10 AM - 2 PM) conflicts with family time. Children's activities and household responsibilities suffer due to class schedule. || Resolution: Created flexible weekend options with shorter session formats"/>
    <n v="21028"/>
    <s v="OK"/>
    <s v="RepeatedRemark"/>
    <e v="#N/A"/>
    <s v="2025-35"/>
    <s v="2025-08"/>
    <s v="Open"/>
    <b v="0"/>
  </r>
  <r>
    <s v="75743847870"/>
    <s v="2025-08-07"/>
    <s v="12:23:20"/>
    <d v="2025-08-07T12:23:20"/>
    <s v="Jessica Kim"/>
    <m/>
    <m/>
    <s v=""/>
    <s v="Counselling Team - NPS"/>
    <s v="Counselling Team - NPS"/>
    <s v="Placement (NPS)"/>
    <s v="7196346343"/>
    <s v="learner133@example.com"/>
    <s v="Career gap of 18 months for personal reasons creating red flags. Recruiters question commitment and skill currency despite recent course completion. || Resolution: Developed gap explanation strategy and skill demonstration projects"/>
    <s v="DSML"/>
    <x v="10"/>
    <n v="5"/>
    <s v="Pending"/>
    <s v="In Progress"/>
    <s v="OK"/>
    <s v="OK"/>
    <s v="OK"/>
    <s v="Career gap of 18 months for personal reasons creating red flags. Recruiters question commitment and skill currency despite recent course completion. || Resolution: Developed gap explanation strategy and skill demonstration projects"/>
    <n v="22299"/>
    <s v="OK"/>
    <s v="RepeatedRemark"/>
    <e v="#N/A"/>
    <s v="2025-32"/>
    <s v="2025-08"/>
    <s v="Open"/>
    <b v="0"/>
  </r>
  <r>
    <s v="75716960306"/>
    <s v="2025-09-05"/>
    <s v="11:12:21"/>
    <d v="2025-09-05T11:12:21"/>
    <s v="David Wilson"/>
    <m/>
    <m/>
    <s v=""/>
    <s v="Counselling Team - NPS"/>
    <s v="Counselling Team - NPS"/>
    <s v="Placement (NPS)"/>
    <s v="8631399401"/>
    <s v="learner134@example.com"/>
    <s v="Previous employment gap of 3 years due to child care responsibilities creates placement barrier. Returning mothers face additional discrimination. || Resolution: Partnered with diversity-focused companies supporting career restart initiatives"/>
    <s v="DSML"/>
    <x v="5"/>
    <n v="2"/>
    <s v="Pending"/>
    <s v="In Progress"/>
    <s v="OK"/>
    <s v="OK"/>
    <s v="OK"/>
    <s v="Previous employment gap of 3 years due to child care responsibilities creates placement barrier. Returning mothers face additional discrimination. || Resolution: Partnered with diversity-focused companies supporting career restart initiatives"/>
    <n v="23605"/>
    <s v="OK"/>
    <s v="RepeatedRemark"/>
    <e v="#N/A"/>
    <s v="2025-36"/>
    <s v="2025-09"/>
    <s v="Open"/>
    <b v="0"/>
  </r>
  <r>
    <s v="75581747678"/>
    <s v="2025-09-13"/>
    <s v="11:46:34"/>
    <d v="2025-09-13T11:46:34"/>
    <s v="Carlos Martinez"/>
    <s v="2025-09-21"/>
    <s v="16:29:10"/>
    <d v="2025-09-21T16:29:10"/>
    <s v="Counselling Team - NPS"/>
    <s v="Counselling Team - NPS"/>
    <s v="Placement (NPS)"/>
    <s v="7790479137"/>
    <s v="learner135@example.com"/>
    <s v="Previous employment gap of 3 years due to child care responsibilities creates placement barrier. Returning mothers face additional discrimination. || Resolution: Partnered with diversity-focused companies supporting career restart initiatives"/>
    <s v="DevOps"/>
    <x v="5"/>
    <n v="1"/>
    <s v="Complete"/>
    <s v="Solved"/>
    <s v="OK"/>
    <s v="OK"/>
    <s v="OK"/>
    <s v="Previous employment gap of 3 years due to child care responsibilities creates placement barrier. Returning mothers face additional discrimination. || Resolution: Partnered with diversity-focused companies supporting career restart initiatives"/>
    <n v="23605"/>
    <s v="OK"/>
    <s v="RepeatedRemark"/>
    <n v="196.71000000002095"/>
    <s v="2025-37"/>
    <s v="2025-09"/>
    <s v="Breach"/>
    <b v="1"/>
  </r>
  <r>
    <s v="75472980019"/>
    <s v="2025-09-12"/>
    <s v="20:09:00"/>
    <d v="2025-09-12T20:09:00"/>
    <s v="David Wilson"/>
    <s v="2025-09-13"/>
    <s v="15:08:53"/>
    <d v="2025-09-13T15:08:53"/>
    <s v="Counselling Team - NPS"/>
    <s v="Counselling Team - NPS"/>
    <s v="Placement (NPS)"/>
    <s v="7790479137"/>
    <s v="learner136@example.com"/>
    <s v="Appearing for interviews but consistently failing in system design rounds. Completed course but still struggle with scalability and architecture questions. || Resolution: Arranged advanced system design workshops with industry architects"/>
    <s v="AIML"/>
    <x v="8"/>
    <n v="6"/>
    <s v="Complete"/>
    <s v="Solved"/>
    <s v="OK"/>
    <s v="OK"/>
    <s v="OK"/>
    <s v="Appearing for interviews but consistently failing in system design rounds. Completed course but still struggle with scalability and architecture questions. || Resolution: Arranged advanced system design workshops with industry architects"/>
    <n v="23234"/>
    <s v="OK"/>
    <s v="RepeatedRemark"/>
    <n v="18.99805555556668"/>
    <s v="2025-37"/>
    <s v="2025-09"/>
    <s v="OK"/>
    <b v="1"/>
  </r>
  <r>
    <s v="75416891857"/>
    <s v="2025-09-12"/>
    <s v="09:34:35"/>
    <d v="2025-09-12T09:34:35"/>
    <s v="Jessica Kim"/>
    <m/>
    <m/>
    <s v=""/>
    <s v="Counselling Team - NPS"/>
    <s v="Counselling Team - NPS"/>
    <s v="Tech (NPS)"/>
    <s v="7050899550"/>
    <s v="learner137@example.com"/>
    <s v="Language barrier with some TAs makes doubt sessions ineffective. Accent and communication style difficult to understand during technical explanations. || Resolution: Provided communication training and paired TAs with complementary strengths"/>
    <s v="DSML"/>
    <x v="4"/>
    <n v="7"/>
    <s v="Pending"/>
    <s v="Awaiting Action - Learner"/>
    <s v="OK"/>
    <s v="OK"/>
    <s v="OK"/>
    <s v="Language barrier with some TAs makes doubt sessions ineffective. Accent and communication style difficult to understand during technical explanations. || Resolution: Provided communication training and paired TAs with complementary strengths"/>
    <n v="23351"/>
    <s v="OK"/>
    <s v="RepeatedRemark"/>
    <e v="#N/A"/>
    <s v="2025-37"/>
    <s v="2025-09"/>
    <s v="Open"/>
    <b v="0"/>
  </r>
  <r>
    <s v="75592486308"/>
    <s v="2025-09-02"/>
    <s v="10:58:06"/>
    <d v="2025-09-02T10:58:06"/>
    <s v="Rohit Gupta"/>
    <m/>
    <m/>
    <s v=""/>
    <s v="Counselling Team - NPS"/>
    <s v="Counselling Team - NPS"/>
    <s v="Program &amp; Classroom (NPS)"/>
    <s v="7639509845"/>
    <s v="learner138@example.com"/>
    <s v="Mike Wilson uses outdated examples in Machine Learning classes. Still teaching scikit-learn 0.22 syntax when industry uses 1.3+. Students struggle with modern ML libraries. || Resolution: Updated all code examples to latest library versions"/>
    <s v="DSML"/>
    <x v="6"/>
    <n v="4"/>
    <s v="Pending"/>
    <s v="In Progress"/>
    <s v="OK"/>
    <s v="OK"/>
    <s v="OK"/>
    <s v="Mike Wilson uses outdated examples in Machine Learning classes. Still teaching scikit-learn 0.22 syntax when industry uses 1.3+. Students struggle with modern ML libraries. || Resolution: Updated all code examples to latest library versions"/>
    <n v="22422"/>
    <s v="OK"/>
    <s v="RepeatedRemark"/>
    <e v="#N/A"/>
    <s v="2025-36"/>
    <s v="2025-09"/>
    <s v="Open"/>
    <b v="0"/>
  </r>
  <r>
    <s v="75642512383"/>
    <s v="2025-08-23"/>
    <s v="13:43:52"/>
    <d v="2025-08-23T13:43:52"/>
    <s v="Mike Chen"/>
    <s v="2025-08-30"/>
    <s v="10:23:25"/>
    <d v="2025-08-30T10:23:25"/>
    <s v="Counselling Team - NPS"/>
    <s v="Counselling Team - NPS"/>
    <s v="Placement (NPS)"/>
    <s v="9807773530"/>
    <s v="learner139@example.com"/>
    <s v="Mentor doesn't understand non-tech background. As commerce graduate transitioning to data science, need someone who understands career pivot challenges. || Resolution: Assigned mentor with similar career transition background"/>
    <s v="DSML"/>
    <x v="9"/>
    <n v="7"/>
    <s v="Complete"/>
    <s v="Solved"/>
    <s v="OK"/>
    <s v="OK"/>
    <s v="OK"/>
    <s v="Mentor doesn't understand non-tech background. As commerce graduate transitioning to data science, need someone who understands career pivot challenges. || Resolution: Assigned mentor with similar career transition background"/>
    <n v="21673"/>
    <s v="OK"/>
    <s v="RepeatedRemark"/>
    <n v="164.65916666662088"/>
    <s v="2025-34"/>
    <s v="2025-08"/>
    <s v="Breach"/>
    <b v="1"/>
  </r>
  <r>
    <s v="75936718857"/>
    <s v="2025-08-25"/>
    <s v="15:41:50"/>
    <d v="2025-08-25T15:41:50"/>
    <s v="Amit Patel"/>
    <s v="2025-08-26"/>
    <s v="09:44:10"/>
    <d v="2025-08-26T09:44:10"/>
    <s v="Counselling Team - NPS"/>
    <s v="Counselling Team - NPS"/>
    <s v="Program &amp; Classroom (NPS)"/>
    <s v="9430335702"/>
    <s v="learner140@example.com"/>
    <s v="No downloadable notes provided for complex topics. Difficult to review mathematical formulas and algorithms without written reference material. || Resolution: Created comprehensive downloadable study guides for all modules"/>
    <s v="Academy"/>
    <x v="11"/>
    <n v="7"/>
    <s v="Complete"/>
    <s v="Solved"/>
    <s v="OK"/>
    <s v="OK"/>
    <s v="OK"/>
    <s v="No downloadable notes provided for complex topics. Difficult to review mathematical formulas and algorithms without written reference material. || Resolution: Created comprehensive downloadable study guides for all modules"/>
    <n v="21599"/>
    <s v="OK"/>
    <s v="RepeatedRemark"/>
    <n v="18.038888888899237"/>
    <s v="2025-35"/>
    <s v="2025-08"/>
    <s v="OK"/>
    <b v="1"/>
  </r>
  <r>
    <s v="75691086098"/>
    <s v="2025-08-14"/>
    <s v="09:59:04"/>
    <d v="2025-08-14T09:59:04"/>
    <s v="Lisa Rodriguez"/>
    <m/>
    <m/>
    <s v=""/>
    <s v="Counselling Team - NPS"/>
    <s v="Counselling Team - NPS"/>
    <s v="Program &amp; Classroom (NPS)"/>
    <s v="9332299091"/>
    <s v="learner141@example.com"/>
    <s v="No downloadable notes provided for complex topics. Difficult to review mathematical formulas and algorithms without written reference material. || Resolution: Created comprehensive downloadable study guides for all modules"/>
    <s v="DSML"/>
    <x v="11"/>
    <n v="1"/>
    <s v="Pending"/>
    <s v="In Progress"/>
    <s v="OK"/>
    <s v="OK"/>
    <s v="OK"/>
    <s v="No downloadable notes provided for complex topics. Difficult to review mathematical formulas and algorithms without written reference material. || Resolution: Created comprehensive downloadable study guides for all modules"/>
    <n v="21599"/>
    <s v="OK"/>
    <s v="RepeatedRemark"/>
    <e v="#N/A"/>
    <s v="2025-33"/>
    <s v="2025-08"/>
    <s v="Open"/>
    <b v="0"/>
  </r>
  <r>
    <s v="75574429624"/>
    <s v="2025-08-14"/>
    <s v="18:15:36"/>
    <d v="2025-08-14T18:15:36"/>
    <s v="Jessica Kim"/>
    <s v="2025-08-26"/>
    <s v="15:59:04"/>
    <d v="2025-08-26T15:59:04"/>
    <s v="Counselling Team - NPS"/>
    <s v="Counselling Team - NPS"/>
    <s v="Placement (NPS)"/>
    <s v="9907843037"/>
    <s v="learner142@example.com"/>
    <s v="Placement eligibility criteria require 70%+ in graduation but scored 68% due to family financial crisis during college. Seems unfair exclusion. || Resolution: Reviewed eligibility criteria and created exception process for genuine hardship cases"/>
    <s v="DevOps"/>
    <x v="5"/>
    <n v="1"/>
    <s v="Complete"/>
    <s v="Solved"/>
    <s v="OK"/>
    <s v="OK"/>
    <s v="OK"/>
    <s v="Placement eligibility criteria require 70%+ in graduation but scored 68% due to family financial crisis during college. Seems unfair exclusion. || Resolution: Reviewed eligibility criteria and created exception process for genuine hardship cases"/>
    <n v="23171"/>
    <s v="OK"/>
    <s v="RepeatedRemark"/>
    <n v="285.72444444440771"/>
    <s v="2025-33"/>
    <s v="2025-08"/>
    <s v="Breach"/>
    <b v="1"/>
  </r>
  <r>
    <s v="75937722224"/>
    <s v="2025-08-09"/>
    <s v="20:22:03"/>
    <d v="2025-08-09T20:22:03"/>
    <s v="Mike Chen"/>
    <m/>
    <m/>
    <s v=""/>
    <s v="Counselling Team - NPS"/>
    <s v="Counselling Team - NPS"/>
    <s v="Placement (NPS)"/>
    <s v="8877279755"/>
    <s v="learner143@example.com"/>
    <s v="Multiple interview rounds cleared but final selection goes to internal referrals. External candidates seem disadvantaged despite equal performance. || Resolution: Expanded alumni network for referral opportunities and insider advocacy"/>
    <s v="Academy"/>
    <x v="8"/>
    <n v="1"/>
    <s v="Pending"/>
    <s v="In Progress"/>
    <s v="OK"/>
    <s v="OK"/>
    <s v="OK"/>
    <s v="Multiple interview rounds cleared but final selection goes to internal referrals. External candidates seem disadvantaged despite equal performance. || Resolution: Expanded alumni network for referral opportunities and insider advocacy"/>
    <n v="22764"/>
    <s v="OK"/>
    <s v="RepeatedRemark"/>
    <e v="#N/A"/>
    <s v="2025-32"/>
    <s v="2025-08"/>
    <s v="Open"/>
    <b v="0"/>
  </r>
  <r>
    <s v="75644961731"/>
    <s v="2025-09-08"/>
    <s v="14:35:24"/>
    <d v="2025-09-08T14:35:24"/>
    <s v="Jessica Kim"/>
    <s v="2025-09-14"/>
    <s v="09:40:17"/>
    <d v="2025-09-14T09:40:17"/>
    <s v="Counselling Team - NPS"/>
    <s v="Counselling Team - NPS"/>
    <s v="Others (NPS)"/>
    <s v="7797737957"/>
    <s v="learner144@example.com"/>
    <s v="Mentor Amit Patel provides only generic advice like 'practice more coding'. Asked specific questions about Google interview process but got template responses. || Resolution: Connected with mentor who recently joined FAANG PayTM"/>
    <s v="DSML"/>
    <x v="9"/>
    <n v="2"/>
    <s v="Complete"/>
    <s v="Solved"/>
    <s v="OK"/>
    <s v="OK"/>
    <s v="OK"/>
    <s v="Mentor Amit Patel provides only generic advice like 'practice more coding'. Asked specific questions about Google interview process but got template responses. || Resolution: Connected with mentor who recently joined FAANG PayTM"/>
    <n v="21485"/>
    <s v="OK"/>
    <s v="OK"/>
    <n v="139.0813888888224"/>
    <s v="2025-37"/>
    <s v="2025-09"/>
    <s v="Breach"/>
    <b v="1"/>
  </r>
  <r>
    <s v="75488087644"/>
    <s v="2025-08-19"/>
    <s v="13:09:24"/>
    <d v="2025-08-19T13:09:24"/>
    <s v="Priya Sharma"/>
    <m/>
    <m/>
    <s v=""/>
    <s v="Counselling Team - NPS"/>
    <s v="Counselling Team - NPS"/>
    <s v="Program &amp; Classroom (NPS)"/>
    <s v="8673413661"/>
    <s v="learner145@example.com"/>
    <s v="Audio-video sync issues during recorded playback. Instructor Sarah Johnson's voice doesn't match lip movement by 2-3 seconds. Distracting during learning. || Resolution: Fixed encoding pipeline and re-processed affected recordings"/>
    <s v="Academy"/>
    <x v="13"/>
    <n v="3"/>
    <s v="Pending"/>
    <s v="In Progress"/>
    <s v="OK"/>
    <s v="OK"/>
    <s v="OK"/>
    <s v="Audio-video sync issues during recorded playback. Instructor Sarah Johnson's voice doesn't match lip movement by 2-3 seconds. Distracting during learning. || Resolution: Fixed encoding pipeline and re-processed affected recordings"/>
    <n v="21730"/>
    <s v="OK"/>
    <s v="OK"/>
    <e v="#N/A"/>
    <s v="2025-34"/>
    <s v="2025-08"/>
    <s v="Open"/>
    <b v="0"/>
  </r>
  <r>
    <s v="75862760731"/>
    <s v="2025-08-20"/>
    <s v="16:35:35"/>
    <d v="2025-08-20T16:35:35"/>
    <s v="Rohit Gupta"/>
    <s v="2025-08-25"/>
    <s v="10:08:05"/>
    <d v="2025-08-25T10:08:05"/>
    <s v="Counselling Team - NPS"/>
    <s v="Counselling Team - NPS"/>
    <s v="Placement (NPS)"/>
    <s v="8752536389"/>
    <s v="learner146@example.com"/>
    <s v="Want to pursue management track vs staying technical. Currently team lead but unsure about MBA requirements and career progression options. || Resolution: Arranged sessions with both technical architects and engineering managers"/>
    <s v="AIML"/>
    <x v="3"/>
    <n v="4"/>
    <s v="Complete"/>
    <s v="Solved"/>
    <s v="OK"/>
    <s v="OK"/>
    <s v="OK"/>
    <s v="Want to pursue management track vs staying technical. Currently team lead but unsure about MBA requirements and career progression options. || Resolution: Arranged sessions with both technical architects and engineering managers"/>
    <n v="21946"/>
    <s v="OK"/>
    <s v="RepeatedRemark"/>
    <n v="113.54166666674428"/>
    <s v="2025-34"/>
    <s v="2025-08"/>
    <s v="Breach"/>
    <b v="1"/>
  </r>
  <r>
    <s v="75816396603"/>
    <s v="2025-08-06"/>
    <s v="10:46:57"/>
    <d v="2025-08-06T10:46:57"/>
    <s v="Rohit Gupta"/>
    <s v="2025-08-12"/>
    <s v="15:00:18"/>
    <d v="2025-08-12T15:00:18"/>
    <s v="Counselling Team - NPS"/>
    <s v="Counselling Team - NPS"/>
    <s v="Program &amp; Classroom (NPS)"/>
    <s v="8042571199"/>
    <s v="learner147@example.com"/>
    <s v="DSML curriculum still uses Pandas 1.3 when industry standard is 2.1+. Modern data manipulation techniques like polars not covered. Outdated for current job requirements. || Resolution: Curriculum team updating all library versions and adding modern tools"/>
    <s v="DSML"/>
    <x v="12"/>
    <n v="3"/>
    <s v="Complete"/>
    <s v="Solved"/>
    <s v="OK"/>
    <s v="OK"/>
    <s v="OK"/>
    <s v="DSML curriculum still uses Pandas 1.3 when industry standard is 2.1+. Modern data manipulation techniques like polars not covered. Outdated for current job requirements. || Resolution: Curriculum team updating all library versions and adding modern tools"/>
    <n v="23929"/>
    <s v="OK"/>
    <s v="OK"/>
    <n v="148.22249999991618"/>
    <s v="2025-32"/>
    <s v="2025-08"/>
    <s v="Breach"/>
    <b v="1"/>
  </r>
  <r>
    <s v="75696311802"/>
    <s v="2025-08-18"/>
    <s v="15:19:30"/>
    <d v="2025-08-18T15:19:30"/>
    <s v="Mike Chen"/>
    <s v="2025-08-26"/>
    <s v="11:04:10"/>
    <d v="2025-08-26T11:04:10"/>
    <s v="Counselling Team - NPS"/>
    <s v="Counselling Team - NPS"/>
    <s v="Placement (NPS)"/>
    <s v="8551019709"/>
    <s v="learner148@example.com"/>
    <s v="Placement team requires 2+ years experience but won't help freshers. Catch-22 situation where experience needed for placement but placement needed for experience. || Resolution: Launched fresh graduate placement track with entry-level focused companies"/>
    <s v="DSML"/>
    <x v="5"/>
    <n v="4"/>
    <s v="Complete"/>
    <s v="Solved"/>
    <s v="OK"/>
    <s v="OK"/>
    <s v="OK"/>
    <s v="Placement team requires 2+ years experience but won't help freshers. Catch-22 situation where experience needed for placement but placement needed for experience. || Resolution: Launched fresh graduate placement track with entry-level focused companies"/>
    <n v="23910"/>
    <s v="OK"/>
    <s v="RepeatedRemark"/>
    <n v="187.74444444448454"/>
    <s v="2025-34"/>
    <s v="2025-08"/>
    <s v="Breach"/>
    <b v="1"/>
  </r>
  <r>
    <s v="75807903732"/>
    <s v="2025-08-13"/>
    <s v="14:28:21"/>
    <d v="2025-08-13T14:28:21"/>
    <s v="Jessica Kim"/>
    <s v="2025-08-16"/>
    <s v="13:00:25"/>
    <d v="2025-08-16T13:00:25"/>
    <s v="Counselling Team - NPS"/>
    <s v="Counselling Team - NPS"/>
    <s v="Placement (NPS)"/>
    <s v="9796181989"/>
    <s v="learner149@example.com"/>
    <s v="Applied to 43 DevOps positions but recruiters say experience looks theoretical. Need real production environment projects to demonstrate practical skills. || Resolution: Arranged internship-style capstone project with live infrastructure"/>
    <s v="DevOps"/>
    <x v="10"/>
    <n v="5"/>
    <s v="Complete"/>
    <s v="Solved"/>
    <s v="OK"/>
    <s v="OK"/>
    <s v="OK"/>
    <s v="Applied to 43 DevOps positions but recruiters say experience looks theoretical. Need real production environment projects to demonstrate practical skills. || Resolution: Arranged internship-style capstone project with live infrastructure"/>
    <n v="23075"/>
    <s v="OK"/>
    <s v="RepeatedRemark"/>
    <n v="70.534444444463588"/>
    <s v="2025-33"/>
    <s v="2025-08"/>
    <s v="OK"/>
    <b v="1"/>
  </r>
  <r>
    <s v="75927215082"/>
    <s v="2025-09-14"/>
    <s v="18:50:15"/>
    <d v="2025-09-14T18:50:15"/>
    <s v="Amit Patel"/>
    <s v="2025-09-20"/>
    <s v="11:25:20"/>
    <d v="2025-09-20T11:25:20"/>
    <s v="Counselling Team - NPS"/>
    <s v="Counselling Team - NPS"/>
    <s v="Placement (NPS)"/>
    <s v="8615145225"/>
    <s v="learner150@example.com"/>
    <s v="Placement team requires 2+ years experience but won't help freshers. Catch-22 situation where experience needed for placement but placement needed for experience. || Resolution: Launched fresh graduate placement track with entry-level focused companies"/>
    <s v="DevOps"/>
    <x v="5"/>
    <n v="4"/>
    <s v="Complete"/>
    <s v="Awaiting Action - Scaler"/>
    <s v="OK"/>
    <s v="OK"/>
    <s v="OK"/>
    <s v="Placement team requires 2+ years experience but won't help freshers. Catch-22 situation where experience needed for placement but placement needed for experience. || Resolution: Launched fresh graduate placement track with entry-level focused companies"/>
    <n v="23910"/>
    <s v="OK"/>
    <s v="RepeatedRemark"/>
    <n v="136.58472222212004"/>
    <s v="2025-37"/>
    <s v="2025-09"/>
    <s v="Breach"/>
    <b v="1"/>
  </r>
  <r>
    <s v="75895663087"/>
    <s v="2025-08-13"/>
    <s v="20:13:28"/>
    <d v="2025-08-13T20:13:28"/>
    <s v="Lisa Rodriguez"/>
    <s v="2025-08-22"/>
    <s v="11:43:49"/>
    <d v="2025-08-22T11:43:49"/>
    <s v="Counselling Team - NPS"/>
    <s v="Counselling Team - NPS"/>
    <s v="Placement (NPS)"/>
    <s v="9975704877"/>
    <s v="learner151@example.com"/>
    <s v="Transitioning from mechanical engineering to software development. Resume lacks relevant projects and recruiters doubt career change authenticity. || Resolution: Created transition portfolio with domain-crossover projects"/>
    <s v="Academy"/>
    <x v="10"/>
    <n v="5"/>
    <s v="Complete"/>
    <s v="Solved"/>
    <s v="OK"/>
    <s v="OK"/>
    <s v="OK"/>
    <s v="Transitioning from mechanical engineering to software development. Resume lacks relevant projects and recruiters doubt career change authenticity. || Resolution: Created transition portfolio with domain-crossover projects"/>
    <n v="21704"/>
    <s v="OK"/>
    <s v="RepeatedRemark"/>
    <n v="207.50583333335817"/>
    <s v="2025-33"/>
    <s v="2025-08"/>
    <s v="Breach"/>
    <b v="1"/>
  </r>
  <r>
    <s v="75479419456"/>
    <s v="2025-08-20"/>
    <s v="16:38:30"/>
    <d v="2025-08-20T16:38:30"/>
    <s v="Sneha Reddy"/>
    <s v="2025-08-31"/>
    <s v="11:45:27"/>
    <d v="2025-08-31T11:45:27"/>
    <s v="Counselling Team - NPS"/>
    <s v="Counselling Team - NPS"/>
    <s v="Program &amp; Classroom (NPS)"/>
    <s v="8721444792"/>
    <s v="learner152@example.com"/>
    <s v="Full Stack development track doesn't cover modern React patterns like hooks, context, or Next.js. Still teaching class components from React 16. || Resolution: Complete overhaul of React curriculum to cover React 18 features"/>
    <s v="DSML"/>
    <x v="12"/>
    <n v="7"/>
    <s v="Complete"/>
    <s v="Solved"/>
    <s v="OK"/>
    <s v="OK"/>
    <s v="OK"/>
    <s v="Full Stack development track doesn't cover modern React patterns like hooks, context, or Next.js. Still teaching class components from React 16. || Resolution: Complete overhaul of React curriculum to cover React 18 features"/>
    <n v="20868"/>
    <s v="OK"/>
    <s v="RepeatedRemark"/>
    <n v="259.11583333346061"/>
    <s v="2025-34"/>
    <s v="2025-08"/>
    <s v="Breach"/>
    <b v="1"/>
  </r>
  <r>
    <s v="75517434526"/>
    <s v="2025-09-14"/>
    <s v="12:42:42"/>
    <d v="2025-09-14T12:42:42"/>
    <s v="Amit Patel"/>
    <m/>
    <m/>
    <s v=""/>
    <s v="Counselling Team - NPS"/>
    <s v="Counselling Team - NPS"/>
    <s v="Placement (NPS)"/>
    <s v="7714418371"/>
    <s v="learner153@example.com"/>
    <s v="Contract/freelance offers available but seeking permanent positions with benefits and job security. Market seems tilted toward gig work. || Resolution: Targeted Infosys outreach focusing on full-time opportunity pipeline"/>
    <s v="Academy"/>
    <x v="8"/>
    <n v="5"/>
    <s v="Pending"/>
    <s v="In Progress"/>
    <s v="OK"/>
    <s v="OK"/>
    <s v="OK"/>
    <s v="Contract/freelance offers available but seeking permanent positions with benefits and job security. Market seems tilted toward gig work. || Resolution: Targeted Infosys outreach focusing on full-time opportunity pipeline"/>
    <n v="21300"/>
    <s v="OK"/>
    <s v="OK"/>
    <e v="#N/A"/>
    <s v="2025-37"/>
    <s v="2025-09"/>
    <s v="Open"/>
    <b v="0"/>
  </r>
  <r>
    <s v="75677818215"/>
    <s v="2025-09-11"/>
    <s v="12:32:47"/>
    <d v="2025-09-11T12:32:47"/>
    <s v="Rohit Gupta"/>
    <s v="2025-09-17"/>
    <s v="15:06:00"/>
    <d v="2025-09-17T15:06:00"/>
    <s v="Counselling Team - NPS"/>
    <s v="Counselling Team - NPS"/>
    <s v="Program &amp; Classroom (NPS)"/>
    <s v="9396563469"/>
    <s v="learner154@example.com"/>
    <s v="Screen sharing resolution too low during coding sessions. Can't read code examples on mobile device. Zoom compression makes text blurry. || Resolution: Upgraded streaming quality to 1080p and optimized for mobile viewing"/>
    <s v="Academy"/>
    <x v="13"/>
    <n v="2"/>
    <s v="Complete"/>
    <s v="Solved"/>
    <s v="OK"/>
    <s v="OK"/>
    <s v="OK"/>
    <s v="Screen sharing resolution too low during coding sessions. Can't read code examples on mobile device. Zoom compression makes text blurry. || Resolution: Upgraded streaming quality to 1080p and optimized for mobile viewing"/>
    <n v="20792"/>
    <s v="OK"/>
    <s v="RepeatedRemark"/>
    <n v="146.55361111101229"/>
    <s v="2025-37"/>
    <s v="2025-09"/>
    <s v="Breach"/>
    <b v="1"/>
  </r>
  <r>
    <s v="75770405910"/>
    <s v="2025-08-30"/>
    <s v="09:30:06"/>
    <d v="2025-08-30T09:30:06"/>
    <m/>
    <m/>
    <m/>
    <s v=""/>
    <s v="Counselling Team - NPS"/>
    <s v="Counselling Team - NPS"/>
    <s v="Placement (NPS)"/>
    <s v="8786600854"/>
    <s v="learner155@example.com"/>
    <s v="Previous employment gap of 3 years due to child care responsibilities creates placement barrier. Returning mothers face additional discrimination. || Resolution: Partnered with diversity-focused companies supporting career restart initiatives"/>
    <s v="AIML"/>
    <x v="5"/>
    <n v="7"/>
    <s v="Pending"/>
    <s v="In Progress"/>
    <s v="Missing"/>
    <s v="OK"/>
    <s v="OK"/>
    <s v="Previous employment gap of 3 years due to child care responsibilities creates placement barrier. Returning mothers face additional discrimination. || Resolution: Partnered with diversity-focused companies supporting career restart initiatives"/>
    <n v="23605"/>
    <s v="OK"/>
    <s v="RepeatedRemark"/>
    <e v="#N/A"/>
    <s v="2025-35"/>
    <s v="2025-08"/>
    <s v="Open"/>
    <b v="0"/>
  </r>
  <r>
    <s v="75504821934"/>
    <s v="2025-08-22"/>
    <s v="16:46:44"/>
    <d v="2025-08-22T16:46:44"/>
    <s v="Carlos Martinez"/>
    <s v="2025-08-26"/>
    <s v="17:30:22"/>
    <d v="2025-08-26T17:30:22"/>
    <s v="Counselling Team - NPS"/>
    <s v="Counselling Team - NPS"/>
    <s v="Program &amp; Classroom (NPS)"/>
    <s v="8369705770"/>
    <s v="learner156@example.com"/>
    <s v="Academy Python track missing async programming, type hints, and dataclasses. These are mandatory for senior roles at Google, Microsoft, Meta. Current content feels like 2020 curriculum. || Resolution: Added advanced Python module covering modern language features"/>
    <s v="DSML"/>
    <x v="12"/>
    <n v="8"/>
    <s v="Complete"/>
    <s v="Solved"/>
    <s v="OK"/>
    <s v="OK"/>
    <s v="OK"/>
    <s v="Academy Python track missing async programming, type hints, and dataclasses. These are mandatory for senior roles at Google, Microsoft, Meta. Current content feels like 2020 curriculum. || Resolution: Added advanced Python module covering modern language features"/>
    <n v="24650"/>
    <s v="OK"/>
    <s v="OK"/>
    <n v="96.727222222136334"/>
    <s v="2025-34"/>
    <s v="2025-08"/>
    <s v="Breach"/>
    <b v="1"/>
  </r>
  <r>
    <s v="75661899532"/>
    <s v="2025-08-08"/>
    <s v="17:11:35"/>
    <d v="2025-08-08T17:11:35"/>
    <s v="Priya Sharma"/>
    <s v="2025-08-14"/>
    <s v="10:43:51"/>
    <d v="2025-08-14T10:43:51"/>
    <s v="Counselling Team - NPS"/>
    <s v="Counselling Team - NPS"/>
    <s v="Program &amp; Classroom (NPS)"/>
    <s v="8421589752"/>
    <s v="learner157@example.com"/>
    <s v="DevOps curriculum missing GitOps, service mesh, and observability tools. Only covers basic Docker and Jenkins. Modern DevOps uses ArgoCD, Istio, Prometheus. || Resolution: Updated DevOps track with cloud-native toolchain coverage"/>
    <s v="AIML"/>
    <x v="12"/>
    <n v="4"/>
    <s v="Complete"/>
    <s v="Solved"/>
    <s v="OK"/>
    <s v="OK"/>
    <s v="OK"/>
    <s v="DevOps curriculum missing GitOps, service mesh, and observability tools. Only covers basic Docker and Jenkins. Modern DevOps uses ArgoCD, Istio, Prometheus. || Resolution: Updated DevOps track with cloud-native toolchain coverage"/>
    <n v="21435"/>
    <s v="OK"/>
    <s v="OK"/>
    <n v="137.53777777781943"/>
    <s v="2025-32"/>
    <s v="2025-08"/>
    <s v="Breach"/>
    <b v="1"/>
  </r>
  <r>
    <s v="75882727494"/>
    <s v="2025-09-10"/>
    <s v="18:27:24"/>
    <d v="2025-09-10T18:27:24"/>
    <s v="Sarah Johnson"/>
    <s v="2025-09-21"/>
    <s v="15:25:01"/>
    <d v="2025-09-21T15:25:01"/>
    <s v="Counselling Team - NPS"/>
    <s v="Counselling Team - NPS"/>
    <s v="Placement (NPS)"/>
    <s v="7922542252"/>
    <s v="learner158@example.com"/>
    <s v="Contract/freelance offers available but seeking permanent positions with benefits and job security. Market seems tilted toward gig work. || Resolution: Targeted Microsoft outreach focusing on full-time opportunity pipeline"/>
    <s v="AIML"/>
    <x v="8"/>
    <n v="5"/>
    <s v="Complete"/>
    <s v="Solved"/>
    <s v="OK"/>
    <s v="OK"/>
    <s v="OK"/>
    <s v="Contract/freelance offers available but seeking permanent positions with benefits and job security. Market seems tilted toward gig work. || Resolution: Targeted Microsoft outreach focusing on full-time opportunity pipeline"/>
    <n v="21503"/>
    <s v="OK"/>
    <s v="RepeatedRemark"/>
    <n v="260.96027777774725"/>
    <s v="2025-37"/>
    <s v="2025-09"/>
    <s v="Breach"/>
    <b v="1"/>
  </r>
  <r>
    <s v="75611606895"/>
    <s v="2025-09-21"/>
    <s v="16:07:16"/>
    <d v="2025-09-21T16:07:16"/>
    <s v="Carlos Martinez"/>
    <m/>
    <m/>
    <s v=""/>
    <s v="Counselling Team - NPS"/>
    <s v="Counselling Team - NPS"/>
    <s v="Tech (NPS)"/>
    <s v="9266518721"/>
    <s v="learner159@example.com"/>
    <s v="Career guidance sessions focus only on technical skills. No discussion about salary negotiation, PayTM culture fit, or work-life balance considerations. || Resolution: Introduced holistic career coaching covering all professional aspects"/>
    <s v="DevOps"/>
    <x v="9"/>
    <n v="5"/>
    <s v="Pending"/>
    <s v="Awaiting Action - Scaler"/>
    <s v="OK"/>
    <s v="OK"/>
    <s v="OK"/>
    <s v="Career guidance sessions focus only on technical skills. No discussion about salary negotiation, PayTM culture fit, or work-life balance considerations. || Resolution: Introduced holistic career coaching covering all professional aspects"/>
    <n v="22770"/>
    <s v="OK"/>
    <s v="OK"/>
    <e v="#N/A"/>
    <s v="2025-38"/>
    <s v="2025-09"/>
    <s v="Open"/>
    <b v="0"/>
  </r>
  <r>
    <s v="75719378952"/>
    <s v="2025-08-26"/>
    <s v="18:37:05"/>
    <d v="2025-08-26T18:37:05"/>
    <s v="Priya Sharma"/>
    <s v="2025-09-01"/>
    <s v="14:54:29"/>
    <d v="2025-09-01T14:54:29"/>
    <s v="Counselling Team - NPS"/>
    <s v="Counselling Team - NPS"/>
    <s v="Program &amp; Classroom (NPS)"/>
    <s v="8345122542"/>
    <s v="learner160@example.com"/>
    <s v="Audio-video sync issues during recorded playback. Instructor Nina Patel's voice doesn't match lip movement by 2-3 seconds. Distracting during learning. || Resolution: Fixed encoding pipeline and re-processed affected recordings"/>
    <s v="AIML"/>
    <x v="13"/>
    <n v="4"/>
    <s v="Complete"/>
    <s v="Solved"/>
    <s v="OK"/>
    <s v="OK"/>
    <s v="OK"/>
    <s v="Audio-video sync issues during recorded playback. Instructor Nina Patel's voice doesn't match lip movement by 2-3 seconds. Distracting during learning. || Resolution: Fixed encoding pipeline and re-processed affected recordings"/>
    <n v="21392"/>
    <s v="OK"/>
    <s v="OK"/>
    <n v="140.28999999992084"/>
    <s v="2025-35"/>
    <s v="2025-08"/>
    <s v="Breach"/>
    <b v="1"/>
  </r>
  <r>
    <s v="75812005439"/>
    <s v="2025-08-24"/>
    <s v="15:11:31"/>
    <d v="2025-08-24T15:11:31"/>
    <s v="Rohit Gupta"/>
    <s v="2025-09-02"/>
    <s v="15:26:38"/>
    <d v="2025-09-02T15:26:38"/>
    <s v="Counselling Team - NPS"/>
    <s v="Counselling Team - NPS"/>
    <s v="Program &amp; Classroom (NPS)"/>
    <s v="9978271740"/>
    <s v="learner161@example.com"/>
    <s v="Machine Learning module lacks MLOps content. No coverage of model deployment, monitoring, or A/B testing. Industry expects end-to-end ML pipeline knowledge. || Resolution: Adding MLOps specialization track with hands-on deployment projects"/>
    <s v="AIML"/>
    <x v="12"/>
    <n v="7"/>
    <s v="Complete"/>
    <s v="Solved"/>
    <s v="OK"/>
    <s v="OK"/>
    <s v="OK"/>
    <s v="Machine Learning module lacks MLOps content. No coverage of model deployment, monitoring, or A/B testing. Industry expects end-to-end ML pipeline knowledge. || Resolution: Adding MLOps specialization track with hands-on deployment projects"/>
    <n v="22411"/>
    <s v="OK"/>
    <s v="RepeatedRemark"/>
    <n v="216.25194444449153"/>
    <s v="2025-34"/>
    <s v="2025-08"/>
    <s v="Breach"/>
    <b v="1"/>
  </r>
  <r>
    <s v="75410290140"/>
    <s v="2025-08-19"/>
    <s v="16:08:12"/>
    <d v="2025-08-19T16:08:12"/>
    <s v="Jessica Kim"/>
    <s v="2025-08-25"/>
    <s v="16:39:03"/>
    <d v="2025-08-25T16:39:03"/>
    <s v="Counselling Team - NPS"/>
    <s v="Counselling Team - NPS"/>
    <s v="Program &amp; Classroom (NPS)"/>
    <s v="9411976659"/>
    <s v="learner162@example.com"/>
    <s v="Screen sharing resolution too low during coding sessions. Can't read code examples on mobile device. Zoom compression makes text blurry. || Resolution: Upgraded streaming quality to 1080p and optimized for mobile viewing"/>
    <s v="DevOps"/>
    <x v="13"/>
    <n v="3"/>
    <s v="Complete"/>
    <s v="Solved"/>
    <s v="OK"/>
    <s v="OK"/>
    <s v="OK"/>
    <s v="Screen sharing resolution too low during coding sessions. Can't read code examples on mobile device. Zoom compression makes text blurry. || Resolution: Upgraded streaming quality to 1080p and optimized for mobile viewing"/>
    <n v="20792"/>
    <s v="OK"/>
    <s v="RepeatedRemark"/>
    <n v="144.51416666671867"/>
    <s v="2025-34"/>
    <s v="2025-08"/>
    <s v="Breach"/>
    <b v="1"/>
  </r>
  <r>
    <s v="75636791759"/>
    <s v="2025-08-27"/>
    <s v="13:02:17"/>
    <d v="2025-08-27T13:02:17"/>
    <s v="David Wilson"/>
    <s v="2025-09-04"/>
    <s v="16:10:05"/>
    <d v="2025-09-04T16:10:05"/>
    <s v="Counselling Team - NPS"/>
    <s v="Counselling Team - NPS"/>
    <s v="Placement (NPS)"/>
    <s v="9309011435"/>
    <s v="learner163@example.com"/>
    <s v="Geographic restrictions limiting opportunities. Family commitments require staying in Tier-2 city but most opportunities in Bangalore/Hyderabad. || Resolution: Focused on remote opportunities and companies with distributed teams"/>
    <s v="Academy"/>
    <x v="8"/>
    <n v="7"/>
    <s v="Complete"/>
    <s v="Solved"/>
    <s v="OK"/>
    <s v="OK"/>
    <s v="OK"/>
    <s v="Geographic restrictions limiting opportunities. Family commitments require staying in Tier-2 city but most opportunities in Bangalore/Hyderabad. || Resolution: Focused on remote opportunities and companies with distributed teams"/>
    <n v="22209"/>
    <s v="OK"/>
    <s v="RepeatedRemark"/>
    <n v="195.13000000000466"/>
    <s v="2025-35"/>
    <s v="2025-08"/>
    <s v="Breach"/>
    <b v="1"/>
  </r>
  <r>
    <s v="75522628457"/>
    <s v="2025-09-19"/>
    <s v="13:49:34"/>
    <d v="2025-09-19T13:49:34"/>
    <m/>
    <m/>
    <m/>
    <s v=""/>
    <s v="Counselling Team - NPS"/>
    <s v="Counselling Team - NPS"/>
    <s v="Placement (NPS)"/>
    <s v="9328058564"/>
    <s v="learner164@example.com"/>
    <s v="Resume highlighting DSML completion not attracting ML Engineer positions. Only getting data entry or analyst roles below skill level and salary expectations. || Resolution: Added ML portfolio projects and technical blog writing to demonstrate expertise"/>
    <s v="Academy"/>
    <x v="10"/>
    <n v="1"/>
    <s v="Pending"/>
    <s v="In Progress"/>
    <s v="Missing"/>
    <s v="OK"/>
    <s v="OK"/>
    <s v="Resume highlighting DSML completion not attracting ML Engineer positions. Only getting data entry or analyst roles below skill level and salary expectations. || Resolution: Added ML portfolio projects and technical blog writing to demonstrate expertise"/>
    <n v="24102"/>
    <s v="OK"/>
    <s v="RepeatedRemark"/>
    <e v="#N/A"/>
    <s v="2025-38"/>
    <s v="2025-09"/>
    <s v="Open"/>
    <b v="0"/>
  </r>
  <r>
    <s v="75882896428"/>
    <s v="2025-08-28"/>
    <s v="13:22:55"/>
    <d v="2025-08-28T13:22:55"/>
    <s v="Mike Chen"/>
    <s v="2025-09-08"/>
    <s v="12:19:55"/>
    <d v="2025-09-08T12:19:55"/>
    <s v="Counselling Team - NPS"/>
    <s v="Counselling Team - NPS"/>
    <s v="Program &amp; Classroom (NPS)"/>
    <s v="8885790857"/>
    <s v="learner165@example.com"/>
    <s v="No downloadable notes provided for complex topics. Difficult to review mathematical formulas and algorithms without written reference material. || Resolution: Created comprehensive downloadable study guides for all modules"/>
    <s v="Academy"/>
    <x v="11"/>
    <n v="7"/>
    <s v="Complete"/>
    <s v="Solved"/>
    <s v="OK"/>
    <s v="OK"/>
    <s v="OK"/>
    <s v="No downloadable notes provided for complex topics. Difficult to review mathematical formulas and algorithms without written reference material. || Resolution: Created comprehensive downloadable study guides for all modules"/>
    <n v="21599"/>
    <s v="OK"/>
    <s v="RepeatedRemark"/>
    <n v="262.95000000006985"/>
    <s v="2025-35"/>
    <s v="2025-08"/>
    <s v="Breach"/>
    <b v="1"/>
  </r>
  <r>
    <s v="75549502403"/>
    <s v="2025-09-07"/>
    <s v="12:52:13"/>
    <d v="2025-09-07T12:52:13"/>
    <s v="Sarah Johnson"/>
    <s v="2025-09-19"/>
    <s v="18:40:27"/>
    <d v="2025-09-19T18:40:27"/>
    <s v="Counselling Team - NPS"/>
    <s v="Counselling Team - NPS"/>
    <s v="Program &amp; Classroom (NPS)"/>
    <s v="9448450685"/>
    <s v="learner166@example.com"/>
    <s v="No downloadable notes provided for complex topics. Difficult to review mathematical formulas and algorithms without written reference material. || Resolution: Created comprehensive downloadable study guides for all modules"/>
    <s v="AIML"/>
    <x v="11"/>
    <n v="2"/>
    <s v="Complete"/>
    <s v="Solved"/>
    <s v="OK"/>
    <s v="OK"/>
    <s v="OK"/>
    <s v="No downloadable notes provided for complex topics. Difficult to review mathematical formulas and algorithms without written reference material. || Resolution: Created comprehensive downloadable study guides for all modules"/>
    <n v="21599"/>
    <s v="OK"/>
    <s v="RepeatedRemark"/>
    <n v="293.80388888897141"/>
    <s v="2025-36"/>
    <s v="2025-09"/>
    <s v="Breach"/>
    <b v="1"/>
  </r>
  <r>
    <s v="75687057426"/>
    <s v="2025-08-21"/>
    <s v="17:57:43"/>
    <d v="2025-08-21T17:57:43"/>
    <m/>
    <m/>
    <m/>
    <s v=""/>
    <s v="Counselling Team - NPS"/>
    <s v="Counselling Team - NPS"/>
    <s v="Placement (NPS)"/>
    <s v="7582349911"/>
    <s v="learner167@example.com"/>
    <s v="Considering freelancing transition after 8 years in corporate. Need guidance on building client base, pricing projects, and managing business aspects. || Resolution: Introduced to successful freelancer mentor and provided business setup guidance"/>
    <s v="DevOps"/>
    <x v="3"/>
    <n v="3"/>
    <s v="Pending"/>
    <s v="Awaiting Action - Learner"/>
    <s v="Missing"/>
    <s v="OK"/>
    <s v="OK"/>
    <s v="Considering freelancing transition after 8 years in corporate. Need guidance on building client base, pricing projects, and managing business aspects. || Resolution: Introduced to successful freelancer mentor and provided business setup guidance"/>
    <n v="23492"/>
    <s v="OK"/>
    <s v="RepeatedRemark"/>
    <e v="#N/A"/>
    <s v="2025-34"/>
    <s v="2025-08"/>
    <s v="Open"/>
    <b v="0"/>
  </r>
  <r>
    <s v="75821659217"/>
    <s v="2025-08-09"/>
    <s v="16:09:36"/>
    <d v="2025-08-09T16:09:36"/>
    <s v="Lisa Rodriguez"/>
    <s v="2025-08-12"/>
    <s v="12:09:45"/>
    <d v="2025-08-12T12:09:45"/>
    <s v="Counselling Team - NPS"/>
    <s v="Counselling Team - NPS"/>
    <s v="Placement (NPS)"/>
    <s v="9696435541"/>
    <s v="learner168@example.com"/>
    <s v="Told course would take 6 months but curriculum actually requires 10+ months for completion. Time commitment significantly underestimated. || Resolution: Updated course duration estimates and provided realistic timeline planning"/>
    <s v="DevOps"/>
    <x v="2"/>
    <n v="1"/>
    <s v="Complete"/>
    <s v="Solved"/>
    <s v="OK"/>
    <s v="OK"/>
    <s v="OK"/>
    <s v="Told course would take 6 months but curriculum actually requires 10+ months for completion. Time commitment significantly underestimated. || Resolution: Updated course duration estimates and provided realistic timeline planning"/>
    <n v="21945"/>
    <s v="OK"/>
    <s v="RepeatedRemark"/>
    <n v="68.002499999944121"/>
    <s v="2025-32"/>
    <s v="2025-08"/>
    <s v="OK"/>
    <b v="1"/>
  </r>
  <r>
    <s v="75796287154"/>
    <s v="2025-09-20"/>
    <s v="16:31:20"/>
    <d v="2025-09-20T16:31:20"/>
    <s v="Sneha Reddy"/>
    <m/>
    <m/>
    <s v=""/>
    <s v="Counselling Team - NPS"/>
    <s v="Counselling Team - NPS"/>
    <s v="Tech (NPS)"/>
    <s v="7010621799"/>
    <s v="learner169@example.com"/>
    <s v="Assignment instructions assume prior knowledge not covered in lectures. Database project requires PostgreSQL when only MySQL was taught in class. || Resolution: Added prerequisite tutorials and Azure setup guides"/>
    <s v="DSML"/>
    <x v="0"/>
    <n v="3"/>
    <s v="Pending"/>
    <s v="Awaiting Action - Scaler"/>
    <s v="OK"/>
    <s v="OK"/>
    <s v="OK"/>
    <s v="Assignment instructions assume prior knowledge not covered in lectures. Database project requires PostgreSQL when only MySQL was taught in class. || Resolution: Added prerequisite tutorials and Azure setup guides"/>
    <n v="20359"/>
    <s v="OK"/>
    <s v="RepeatedRemark"/>
    <e v="#N/A"/>
    <s v="2025-38"/>
    <s v="2025-09"/>
    <s v="Open"/>
    <b v="0"/>
  </r>
  <r>
    <s v="75627473778"/>
    <s v="2025-09-14"/>
    <s v="16:17:20"/>
    <d v="2025-09-14T16:17:20"/>
    <s v="Lisa Rodriguez"/>
    <s v="2025-09-16"/>
    <s v="17:25:13"/>
    <d v="2025-09-16T17:25:13"/>
    <s v="Counselling Team - NPS"/>
    <s v="Counselling Team - NPS"/>
    <s v="Program &amp; Classroom (NPS)"/>
    <s v="8450647350"/>
    <s v="learner170@example.com"/>
    <s v="No downloadable notes provided for complex topics. Difficult to review mathematical formulas and algorithms without written reference material. || Resolution: Created comprehensive downloadable study guides for all modules"/>
    <s v="DSML"/>
    <x v="11"/>
    <n v="6"/>
    <s v="Complete"/>
    <s v="Solved"/>
    <s v="OK"/>
    <s v="OK"/>
    <s v="OK"/>
    <s v="No downloadable notes provided for complex topics. Difficult to review mathematical formulas and algorithms without written reference material. || Resolution: Created comprehensive downloadable study guides for all modules"/>
    <n v="21599"/>
    <s v="OK"/>
    <s v="RepeatedRemark"/>
    <n v="49.131388888810761"/>
    <s v="2025-37"/>
    <s v="2025-09"/>
    <s v="OK"/>
    <b v="1"/>
  </r>
  <r>
    <s v="75893472161"/>
    <s v="2025-09-13"/>
    <s v="09:07:59"/>
    <d v="2025-09-13T09:07:59"/>
    <s v="Priya Sharma"/>
    <m/>
    <m/>
    <s v=""/>
    <s v="Counselling Team - NPS"/>
    <s v="Counselling Team - NPS"/>
    <s v="Placement (NPS)"/>
    <s v="8895308730"/>
    <s v="learner171@example.com"/>
    <s v="Clearing technical rounds but failing in cultural fit assessments. Companies say not aligned with startup pace or collaborative work style. || Resolution: Added soft skills training and Swiggy culture preparation sessions"/>
    <s v="Academy"/>
    <x v="8"/>
    <n v="4"/>
    <s v="Pending"/>
    <s v="Awaiting Action - Scaler"/>
    <s v="OK"/>
    <s v="OK"/>
    <s v="OK"/>
    <s v="Clearing technical rounds but failing in cultural fit assessments. Companies say not aligned with startup pace or collaborative work style. || Resolution: Added soft skills training and Swiggy culture preparation sessions"/>
    <n v="21327"/>
    <s v="OK"/>
    <s v="OK"/>
    <e v="#N/A"/>
    <s v="2025-37"/>
    <s v="2025-09"/>
    <s v="Open"/>
    <b v="0"/>
  </r>
  <r>
    <s v="75694226159"/>
    <s v="2025-08-09"/>
    <s v="10:41:23"/>
    <d v="2025-08-09T10:41:23"/>
    <s v="Lisa Rodriguez"/>
    <m/>
    <m/>
    <s v=""/>
    <s v="Counselling Team - NPS"/>
    <s v="Counselling Team - NPS"/>
    <s v="Tech (NPS)"/>
    <s v="7353993484"/>
    <s v="learner172@example.com"/>
    <s v="TA Rohit takes 2-3 days to respond to doubt resolution requests. Critical errors in assignments go unresolved, affecting submission deadlines. || Resolution: Implemented 24-hour response SLA for TAs and hired additional support staff"/>
    <s v="AIML"/>
    <x v="4"/>
    <n v="8"/>
    <s v="Pending"/>
    <s v="Awaiting Action - Learner"/>
    <s v="OK"/>
    <s v="OK"/>
    <s v="OK"/>
    <s v="TA Rohit takes 2-3 days to respond to doubt resolution requests. Critical errors in assignments go unresolved, affecting submission deadlines. || Resolution: Implemented 24-hour response SLA for TAs and hired additional support staff"/>
    <n v="21891"/>
    <s v="OK"/>
    <s v="RepeatedRemark"/>
    <e v="#N/A"/>
    <s v="2025-32"/>
    <s v="2025-08"/>
    <s v="Open"/>
    <b v="0"/>
  </r>
  <r>
    <s v="75401166414"/>
    <s v="2025-08-20"/>
    <s v="12:30:04"/>
    <d v="2025-08-20T12:30:04"/>
    <s v="Priya Sharma"/>
    <s v="2025-08-24"/>
    <s v="15:41:05"/>
    <d v="2025-08-24T15:41:05"/>
    <s v="Counselling Team - NPS"/>
    <s v="Counselling Team - NPS"/>
    <s v="Placement (NPS)"/>
    <s v="9549834042"/>
    <s v="learner173@example.com"/>
    <s v="Interested in startup environment but concerned about job security with family responsibilities. Need advice on evaluating startup opportunities vs established companies. || Resolution: Conducted detailed career counseling session on risk assessment and planning"/>
    <s v="Academy"/>
    <x v="3"/>
    <n v="7"/>
    <s v="Complete"/>
    <s v="Solved"/>
    <s v="OK"/>
    <s v="OK"/>
    <s v="OK"/>
    <s v="Interested in startup environment but concerned about job security with family responsibilities. Need advice on evaluating startup opportunities vs established companies. || Resolution: Conducted detailed career counseling session on risk assessment and planning"/>
    <n v="25613"/>
    <s v="OK"/>
    <s v="RepeatedRemark"/>
    <n v="99.183611111075152"/>
    <s v="2025-34"/>
    <s v="2025-08"/>
    <s v="Breach"/>
    <b v="1"/>
  </r>
  <r>
    <s v="75476051319"/>
    <s v="2025-08-22"/>
    <s v="12:24:05"/>
    <d v="2025-08-22T12:24:05"/>
    <s v="Mike Chen"/>
    <m/>
    <m/>
    <s v=""/>
    <s v="Counselling Team - NPS"/>
    <s v="Counselling Team - NPS"/>
    <s v="Others (NPS)"/>
    <s v="7443247229"/>
    <s v="learner174@example.com"/>
    <s v="Mock interview sessions lack depth. Mentor asks basic questions without simulating real interview pressure or providing improvement feedback. || Resolution: Upgraded to senior mentor with interviewing experience at target companies"/>
    <s v="AIML"/>
    <x v="9"/>
    <n v="5"/>
    <s v="Pending"/>
    <s v="Awaiting Action - Learner"/>
    <s v="OK"/>
    <s v="OK"/>
    <s v="OK"/>
    <s v="Mock interview sessions lack depth. Mentor asks basic questions without simulating real interview pressure or providing improvement feedback. || Resolution: Upgraded to senior mentor with interviewing experience at target companies"/>
    <n v="22571"/>
    <s v="OK"/>
    <s v="OK"/>
    <e v="#N/A"/>
    <s v="2025-34"/>
    <s v="2025-08"/>
    <s v="Open"/>
    <b v="0"/>
  </r>
  <r>
    <s v="75473456403"/>
    <s v="2025-09-19"/>
    <s v="17:36:00"/>
    <d v="2025-09-19T17:36:00"/>
    <s v="Sneha Reddy"/>
    <m/>
    <m/>
    <s v=""/>
    <s v="Counselling Team - NPS"/>
    <s v="Counselling Team - NPS"/>
    <s v="Tech (NPS)"/>
    <s v="9791815554"/>
    <s v="learner175@example.com"/>
    <s v="Want to pursue management track vs staying technical. Currently team lead but unsure about MBA requirements and career progression options. || Resolution: Arranged sessions with both technical architects and engineering managers"/>
    <s v="AIML"/>
    <x v="3"/>
    <n v="4"/>
    <s v="Pending"/>
    <s v="Awaiting Action - Scaler"/>
    <s v="OK"/>
    <s v="OK"/>
    <s v="OK"/>
    <s v="Want to pursue management track vs staying technical. Currently team lead but unsure about MBA requirements and career progression options. || Resolution: Arranged sessions with both technical architects and engineering managers"/>
    <n v="21946"/>
    <s v="OK"/>
    <s v="RepeatedRemark"/>
    <e v="#N/A"/>
    <s v="2025-38"/>
    <s v="2025-09"/>
    <s v="Open"/>
    <b v="0"/>
  </r>
  <r>
    <s v="75550337960"/>
    <s v="2025-08-27"/>
    <s v="10:37:46"/>
    <d v="2025-08-27T10:37:46"/>
    <s v="Jessica Kim"/>
    <s v="2025-09-04"/>
    <s v="12:05:57"/>
    <d v="2025-09-04T12:05:57"/>
    <s v="Counselling Team - NPS"/>
    <s v="Counselling Team - NPS"/>
    <s v="Others (NPS)"/>
    <s v="8509834067"/>
    <s v="learner176@example.com"/>
    <s v="Holiday classes scheduled during Diwali week without considering festival commitments. Attendance drops to 30% affecting AIML Jul25 momentum. || Resolution: Rescheduled holiday periods and created festival-friendly calendar"/>
    <s v="Academy"/>
    <x v="1"/>
    <n v="2"/>
    <s v="Complete"/>
    <s v="Solved"/>
    <s v="OK"/>
    <s v="OK"/>
    <s v="OK"/>
    <s v="Holiday classes scheduled during Diwali week without considering festival commitments. Attendance drops to 30% affecting AIML Jul25 momentum. || Resolution: Rescheduled holiday periods and created festival-friendly calendar"/>
    <n v="21118"/>
    <s v="OK"/>
    <s v="RepeatedRemark"/>
    <n v="193.46972222212935"/>
    <s v="2025-35"/>
    <s v="2025-08"/>
    <s v="Breach"/>
    <b v="1"/>
  </r>
  <r>
    <s v="75723893509"/>
    <s v="2025-09-11"/>
    <s v="12:33:38"/>
    <d v="2025-09-11T12:33:38"/>
    <s v="Rohit Gupta"/>
    <s v="2025-09-20"/>
    <s v="18:38:46"/>
    <d v="2025-09-20T18:38:46"/>
    <s v="Counselling Team - NPS"/>
    <s v="Counselling Team - NPS"/>
    <s v="Program &amp; Classroom (NPS)"/>
    <s v="7810230640"/>
    <s v="learner177@example.com"/>
    <s v="No code review feedback provided for assignments. Submitting working solutions but don't know if following best practices or industry standards. || Resolution: Introduced mandatory code review sessions with senior developers"/>
    <s v="DevOps"/>
    <x v="0"/>
    <n v="3"/>
    <s v="Complete"/>
    <s v="Solved"/>
    <s v="OK"/>
    <s v="OK"/>
    <s v="OK"/>
    <s v="No code review feedback provided for assignments. Submitting working solutions but don't know if following best practices or industry standards. || Resolution: Introduced mandatory code review sessions with senior developers"/>
    <n v="21754"/>
    <s v="OK"/>
    <s v="RepeatedRemark"/>
    <n v="222.08555555547355"/>
    <s v="2025-37"/>
    <s v="2025-09"/>
    <s v="Breach"/>
    <b v="1"/>
  </r>
  <r>
    <s v="75967243311"/>
    <s v="2025-09-01"/>
    <s v="09:23:59"/>
    <d v="2025-09-01T09:23:59"/>
    <s v="Amit Patel"/>
    <s v="2025-09-05"/>
    <s v="16:40:38"/>
    <d v="2025-09-05T16:40:38"/>
    <s v="Counselling Team - NPS"/>
    <s v="Counselling Team - NPS"/>
    <s v="Program &amp; Classroom (NPS)"/>
    <s v="7566862173"/>
    <s v="learner178@example.com"/>
    <s v="Evening AIML Aug25 starts at 7 PM when dinner time with family. Work-life balance getting affected due to late learning schedule. || Resolution: Introduced early evening slots (6-8 PM) based on demand"/>
    <s v="Academy"/>
    <x v="8"/>
    <n v="10"/>
    <s v="Complete"/>
    <s v="Solved"/>
    <s v="OK"/>
    <s v="OK"/>
    <s v="OK"/>
    <s v="Evening AIML Aug25 starts at 7 PM when dinner time with family. Work-life balance getting affected due to late learning schedule. || Resolution: Introduced early evening slots (6-8 PM) based on demand"/>
    <n v="18009"/>
    <s v="OK"/>
    <s v="RepeatedRemark"/>
    <n v="103.27750000002561"/>
    <s v="2025-36"/>
    <s v="2025-09"/>
    <s v="Breach"/>
    <b v="1"/>
  </r>
  <r>
    <s v="75414810579"/>
    <s v="2025-08-12"/>
    <s v="13:13:02"/>
    <d v="2025-08-12T13:13:02"/>
    <s v="Sarah Johnson"/>
    <m/>
    <m/>
    <s v=""/>
    <s v="Counselling Team - NPS"/>
    <s v="Counselling Team - NPS"/>
    <s v="Program &amp; Classroom (NPS)"/>
    <s v="8709289717"/>
    <s v="learner179@example.com"/>
    <s v="Assignment instructions assume prior knowledge not covered in lectures. Database project requires PostgreSQL when only MySQL was taught in class. || Resolution: Added prerequisite tutorials and Azure setup guides"/>
    <s v="Academy"/>
    <x v="0"/>
    <n v="2"/>
    <s v="Pending"/>
    <s v="Awaiting Action - Scaler"/>
    <s v="OK"/>
    <s v="OK"/>
    <s v="OK"/>
    <s v="Assignment instructions assume prior knowledge not covered in lectures. Database project requires PostgreSQL when only MySQL was taught in class. || Resolution: Added prerequisite tutorials and Azure setup guides"/>
    <n v="20359"/>
    <s v="OK"/>
    <s v="RepeatedRemark"/>
    <e v="#N/A"/>
    <s v="2025-33"/>
    <s v="2025-08"/>
    <s v="Open"/>
    <b v="0"/>
  </r>
  <r>
    <s v="75697928718"/>
    <s v="2025-08-28"/>
    <s v="10:19:05"/>
    <d v="2025-08-28T10:19:05"/>
    <s v="Rohit Gupta"/>
    <s v="2025-08-30"/>
    <s v="17:34:39"/>
    <d v="2025-08-30T17:34:39"/>
    <s v="Counselling Team - NPS"/>
    <s v="Counselling Team - NPS"/>
    <s v="Placement (NPS)"/>
    <s v="7872726570"/>
    <s v="learner180@example.com"/>
    <s v="Job offers coming from service companies but goal is product companies. Unable to break into companies like Flipkart, Swiggy, or Zomato despite preparation. || Resolution: Connected with product Uber employees for referrals and insider insights"/>
    <s v="AIML"/>
    <x v="8"/>
    <n v="3"/>
    <s v="Complete"/>
    <s v="Solved"/>
    <s v="OK"/>
    <s v="OK"/>
    <s v="OK"/>
    <s v="Job offers coming from service companies but goal is product companies. Unable to break into companies like Flipkart, Swiggy, or Zomato despite preparation. || Resolution: Connected with product Uber employees for referrals and insider insights"/>
    <n v="23215"/>
    <s v="OK"/>
    <s v="OK"/>
    <n v="55.259444444440305"/>
    <s v="2025-35"/>
    <s v="2025-08"/>
    <s v="OK"/>
    <b v="1"/>
  </r>
  <r>
    <s v="75462176039"/>
    <s v="2025-09-07"/>
    <s v="12:05:59"/>
    <d v="2025-09-07T12:05:59"/>
    <s v="Jessica Kim"/>
    <s v="2025-09-18"/>
    <s v="10:19:44"/>
    <d v="2025-09-18T10:19:44"/>
    <s v="Counselling Team - NPS"/>
    <s v="Counselling Team - NPS"/>
    <s v="Placement (NPS)"/>
    <s v="7498158588"/>
    <s v="learner181@example.com"/>
    <s v="Sales promised 100% job guarantee within 6 months but placement team says no such commitment exists. Feel misled about course outcomes. || Resolution: Clarified placement support terms and provided additional career assistance"/>
    <s v="DSML"/>
    <x v="2"/>
    <n v="1"/>
    <s v="Complete"/>
    <s v="Solved"/>
    <s v="OK"/>
    <s v="OK"/>
    <s v="OK"/>
    <s v="Sales promised 100% job guarantee within 6 months but placement team says no such commitment exists. Feel misled about course outcomes. || Resolution: Clarified placement support terms and provided additional career assistance"/>
    <n v="21446"/>
    <s v="OK"/>
    <s v="RepeatedRemark"/>
    <n v="262.22916666656965"/>
    <s v="2025-36"/>
    <s v="2025-09"/>
    <s v="Breach"/>
    <b v="1"/>
  </r>
  <r>
    <s v="75575913951"/>
    <s v="2025-09-12"/>
    <s v="16:22:33"/>
    <d v="2025-09-12T16:22:33"/>
    <s v="Rohit Gupta"/>
    <s v="2025-09-14"/>
    <s v="09:45:08"/>
    <d v="2025-09-14T09:45:08"/>
    <s v="Counselling Team - NPS"/>
    <s v="Counselling Team - NPS"/>
    <s v="Tech (NPS)"/>
    <s v="8113457241"/>
    <s v="learner182@example.com"/>
    <s v="TA Rohit takes 2-3 days to respond to doubt resolution requests. Critical errors in assignments go unresolved, affecting submission deadlines. || Resolution: Implemented 24-hour response SLA for TAs and hired additional support staff"/>
    <s v="Academy"/>
    <x v="4"/>
    <n v="6"/>
    <s v="Complete"/>
    <s v="Solved"/>
    <s v="OK"/>
    <s v="OK"/>
    <s v="OK"/>
    <s v="TA Rohit takes 2-3 days to respond to doubt resolution requests. Critical errors in assignments go unresolved, affecting submission deadlines. || Resolution: Implemented 24-hour response SLA for TAs and hired additional support staff"/>
    <n v="21891"/>
    <s v="OK"/>
    <s v="RepeatedRemark"/>
    <n v="41.37638888892252"/>
    <s v="2025-37"/>
    <s v="2025-09"/>
    <s v="OK"/>
    <b v="1"/>
  </r>
  <r>
    <s v="75860983746"/>
    <s v="2025-09-16"/>
    <s v="13:33:04"/>
    <d v="2025-09-16T13:33:04"/>
    <s v="Lisa Rodriguez"/>
    <m/>
    <m/>
    <s v=""/>
    <s v="Counselling Team - NPS"/>
    <s v="Counselling Team - NPS"/>
    <s v="Others (NPS)"/>
    <s v="9476700066"/>
    <s v="learner183@example.com"/>
    <s v="Assignment deadlines clash with office project deliveries. Given 3 major assignments during typical sprint planning weeks. Need better coordination. || Resolution: Staggered assignment deadlines and provided extension options"/>
    <s v="DevOps"/>
    <x v="1"/>
    <n v="2"/>
    <s v="Pending"/>
    <s v="Awaiting Action - Scaler"/>
    <s v="OK"/>
    <s v="OK"/>
    <s v="OK"/>
    <s v="Assignment deadlines clash with office project deliveries. Given 3 major assignments during typical sprint planning weeks. Need better coordination. || Resolution: Staggered assignment deadlines and provided extension options"/>
    <n v="21738"/>
    <s v="OK"/>
    <s v="RepeatedRemark"/>
    <e v="#N/A"/>
    <s v="2025-38"/>
    <s v="2025-09"/>
    <s v="Open"/>
    <b v="0"/>
  </r>
  <r>
    <s v="75510493305"/>
    <s v="2025-08-24"/>
    <s v="18:43:46"/>
    <d v="2025-08-24T18:43:46"/>
    <s v="Mike Chen"/>
    <s v="2025-09-03"/>
    <s v="11:23:10"/>
    <d v="2025-09-03T11:23:10"/>
    <s v="Counselling Team - NPS"/>
    <s v="Counselling Team - NPS"/>
    <s v="Program &amp; Classroom (NPS)"/>
    <s v="7980989514"/>
    <s v="learner184@example.com"/>
    <s v="Screen sharing resolution too low during coding sessions. Can't read code examples on mobile device. Zoom compression makes text blurry. || Resolution: Upgraded streaming quality to 1080p and optimized for mobile viewing"/>
    <s v="DevOps"/>
    <x v="13"/>
    <n v="8"/>
    <s v="Complete"/>
    <s v="Solved"/>
    <s v="OK"/>
    <s v="OK"/>
    <s v="OK"/>
    <s v="Screen sharing resolution too low during coding sessions. Can't read code examples on mobile device. Zoom compression makes text blurry. || Resolution: Upgraded streaming quality to 1080p and optimized for mobile viewing"/>
    <n v="20792"/>
    <s v="OK"/>
    <s v="RepeatedRemark"/>
    <n v="232.65666666661855"/>
    <s v="2025-34"/>
    <s v="2025-08"/>
    <s v="Breach"/>
    <b v="1"/>
  </r>
  <r>
    <s v="75993634042"/>
    <s v="2025-08-31"/>
    <s v="20:47:41"/>
    <d v="2025-08-31T20:47:41"/>
    <s v="Jessica Kim"/>
    <s v="2025-09-03"/>
    <s v="11:59:54"/>
    <d v="2025-09-03T11:59:54"/>
    <s v="Counselling Team - NPS"/>
    <s v="Counselling Team - NPS"/>
    <s v="Program &amp; Classroom (NPS)"/>
    <s v="7964285941"/>
    <s v="learner185@example.com"/>
    <s v="Weekend Academy Jul25 Beginner timing (10 AM - 2 PM) conflicts with family time. Children's activities and household responsibilities suffer due to class schedule. || Resolution: Created flexible weekend options with shorter session formats"/>
    <s v="Academy"/>
    <x v="7"/>
    <n v="5"/>
    <s v="Complete"/>
    <s v="Solved"/>
    <s v="OK"/>
    <s v="OK"/>
    <s v="OK"/>
    <s v="Weekend Academy Jul25 Beginner timing (10 AM - 2 PM) conflicts with family time. Children's activities and household responsibilities suffer due to class schedule. || Resolution: Created flexible weekend options with shorter session formats"/>
    <n v="22285"/>
    <s v="OK"/>
    <s v="RepeatedRemark"/>
    <n v="63.203611111035571"/>
    <s v="2025-35"/>
    <s v="2025-08"/>
    <s v="OK"/>
    <b v="1"/>
  </r>
  <r>
    <s v="75528205773"/>
    <s v="2025-08-18"/>
    <s v="17:43:57"/>
    <d v="2025-08-18T17:43:57"/>
    <s v="Sarah Johnson"/>
    <m/>
    <m/>
    <s v=""/>
    <s v="Counselling Team - NPS"/>
    <s v="Counselling Team - NPS"/>
    <s v="Placement (NPS)"/>
    <s v="7770278136"/>
    <s v="learner186@example.com"/>
    <s v="Planning to relocate from Bangalore to Pune for family reasons. Unclear about job market, salary differences, and Ola options in Pune tech scene. || Resolution: Connected with local Pune-based mentors and provided market insights"/>
    <s v="DevOps"/>
    <x v="3"/>
    <n v="7"/>
    <s v="Pending"/>
    <s v="In Progress"/>
    <s v="OK"/>
    <s v="OK"/>
    <s v="OK"/>
    <s v="Planning to relocate from Bangalore to Pune for family reasons. Unclear about job market, salary differences, and Ola options in Pune tech scene. || Resolution: Connected with local Pune-based mentors and provided market insights"/>
    <n v="21486"/>
    <s v="OK"/>
    <s v="OK"/>
    <e v="#N/A"/>
    <s v="2025-34"/>
    <s v="2025-08"/>
    <s v="Open"/>
    <b v="0"/>
  </r>
  <r>
    <s v="75993877361"/>
    <s v="2025-08-19"/>
    <s v="16:00:23"/>
    <d v="2025-08-19T16:00:23"/>
    <s v="David Wilson"/>
    <m/>
    <m/>
    <s v=""/>
    <s v="Counselling Team - NPS"/>
    <s v="Counselling Team - NPS"/>
    <s v="Program &amp; Classroom (NPS)"/>
    <s v="8252391379"/>
    <s v="learner187@example.com"/>
    <s v="Assigned mentor Priya Sharma unresponsive to career queries for 3+ weeks. Sent 7 messages about transitioning from manual testing to automation but zero replies. || Resolution: Reassigned to senior automation mentor and implemented response time SLA"/>
    <s v="DevOps"/>
    <x v="9"/>
    <n v="4"/>
    <s v="Pending"/>
    <s v="Awaiting Action - Learner"/>
    <s v="OK"/>
    <s v="OK"/>
    <s v="OK"/>
    <s v="Assigned mentor Priya Sharma unresponsive to career queries for 3+ weeks. Sent 7 messages about transitioning from manual testing to automation but zero replies. || Resolution: Reassigned to senior automation mentor and implemented response time SLA"/>
    <n v="23745"/>
    <s v="OK"/>
    <s v="RepeatedRemark"/>
    <e v="#N/A"/>
    <s v="2025-34"/>
    <s v="2025-08"/>
    <s v="Open"/>
    <b v="0"/>
  </r>
  <r>
    <s v="75561669421"/>
    <s v="2025-08-24"/>
    <s v="09:59:26"/>
    <d v="2025-08-24T09:59:26"/>
    <s v="Sarah Johnson"/>
    <s v="2025-09-01"/>
    <s v="12:46:57"/>
    <d v="2025-09-01T12:46:57"/>
    <s v="Counselling Team - NPS"/>
    <s v="Counselling Team - NPS"/>
    <s v="Placement (NPS)"/>
    <s v="8000717686"/>
    <s v="learner188@example.com"/>
    <s v="Background verification issues due to previous Microsoft closure. Documentation unavailable but work experience legitimate and verifiable through colleagues. || Resolution: Created alternative verification process using professional references"/>
    <s v="AIML"/>
    <x v="5"/>
    <n v="2"/>
    <s v="Complete"/>
    <s v="Solved"/>
    <s v="OK"/>
    <s v="OK"/>
    <s v="OK"/>
    <s v="Background verification issues due to previous Microsoft closure. Documentation unavailable but work experience legitimate and verifiable through colleagues. || Resolution: Created alternative verification process using professional references"/>
    <n v="23890"/>
    <s v="OK"/>
    <s v="OK"/>
    <n v="194.79194444435416"/>
    <s v="2025-34"/>
    <s v="2025-08"/>
    <s v="Breach"/>
    <b v="1"/>
  </r>
  <r>
    <s v="75850773824"/>
    <s v="2025-09-18"/>
    <s v="16:03:09"/>
    <d v="2025-09-18T16:03:09"/>
    <s v="Lisa Rodriguez"/>
    <s v="2025-09-30"/>
    <s v="13:06:13"/>
    <d v="2025-09-30T13:06:13"/>
    <s v="Counselling Team - NPS"/>
    <s v="Counselling Team - NPS"/>
    <s v="Placement (NPS)"/>
    <s v="7399546384"/>
    <s v="learner189@example.com"/>
    <s v="Multiple interview rounds cleared but final selection goes to internal referrals. External candidates seem disadvantaged despite equal performance. || Resolution: Expanded alumni network for referral opportunities and insider advocacy"/>
    <s v="AIML"/>
    <x v="8"/>
    <n v="2"/>
    <s v="Complete"/>
    <s v="Solved"/>
    <s v="OK"/>
    <s v="OK"/>
    <s v="OK"/>
    <s v="Multiple interview rounds cleared but final selection goes to internal referrals. External candidates seem disadvantaged despite equal performance. || Resolution: Expanded alumni network for referral opportunities and insider advocacy"/>
    <n v="22764"/>
    <s v="OK"/>
    <s v="RepeatedRemark"/>
    <n v="285.05111111118458"/>
    <s v="2025-38"/>
    <s v="2025-09"/>
    <s v="Breach"/>
    <b v="1"/>
  </r>
  <r>
    <s v="75823431477"/>
    <s v="2025-08-24"/>
    <s v="10:37:36"/>
    <d v="2025-08-24T10:37:36"/>
    <s v="Sarah Johnson"/>
    <s v="2025-09-05"/>
    <s v="10:37:06"/>
    <d v="2025-09-05T10:37:06"/>
    <s v="Counselling Team - NPS"/>
    <s v="Counselling Team - NPS"/>
    <s v="Program &amp; Classroom (NPS)"/>
    <s v="8868237222"/>
    <s v="learner190@example.com"/>
    <s v="Priya Patel rushes through Python concepts without checking student understanding. Covers list comprehensions, decorators, and generators in single session. No time for practice exercises. || Resolution: Restructured curriculum to allocate more time per concept"/>
    <s v="AIML"/>
    <x v="6"/>
    <n v="8"/>
    <s v="Complete"/>
    <s v="Solved"/>
    <s v="OK"/>
    <s v="OK"/>
    <s v="OK"/>
    <s v="Priya Patel rushes through Python concepts without checking student understanding. Covers list comprehensions, decorators, and generators in single session. No time for practice exercises. || Resolution: Restructured curriculum to allocate more time per concept"/>
    <n v="25252"/>
    <s v="OK"/>
    <s v="RepeatedRemark"/>
    <n v="287.99166666681413"/>
    <s v="2025-34"/>
    <s v="2025-08"/>
    <s v="Breach"/>
    <b v="1"/>
  </r>
  <r>
    <s v="75741511874"/>
    <s v="2025-08-21"/>
    <s v="16:17:14"/>
    <d v="2025-08-21T16:17:14"/>
    <s v="Mike Chen"/>
    <m/>
    <m/>
    <s v=""/>
    <s v="Counselling Team - NPS"/>
    <s v="Counselling Team - NPS"/>
    <s v="Program &amp; Classroom (NPS)"/>
    <s v="7870644102"/>
    <s v="learner191@example.com"/>
    <s v="Screen sharing resolution too low during coding sessions. Can't read code examples on mobile device. Zoom compression makes text blurry. || Resolution: Upgraded streaming quality to 1080p and optimized for mobile viewing"/>
    <s v="DevOps"/>
    <x v="13"/>
    <n v="6"/>
    <s v="Pending"/>
    <s v="Awaiting Action - Learner"/>
    <s v="OK"/>
    <s v="OK"/>
    <s v="OK"/>
    <s v="Screen sharing resolution too low during coding sessions. Can't read code examples on mobile device. Zoom compression makes text blurry. || Resolution: Upgraded streaming quality to 1080p and optimized for mobile viewing"/>
    <n v="20792"/>
    <s v="OK"/>
    <s v="RepeatedRemark"/>
    <e v="#N/A"/>
    <s v="2025-34"/>
    <s v="2025-08"/>
    <s v="Open"/>
    <b v="0"/>
  </r>
  <r>
    <s v="75885242269"/>
    <s v="2025-08-29"/>
    <s v="13:29:16"/>
    <d v="2025-08-29T13:29:16"/>
    <s v="Mike Chen"/>
    <s v="2025-09-05"/>
    <s v="10:34:22"/>
    <d v="2025-09-05T10:34:22"/>
    <s v="Counselling Team - NPS"/>
    <s v="Counselling Team - NPS"/>
    <s v="Others (NPS)"/>
    <s v="7388354759"/>
    <s v="learner192@example.com"/>
    <s v="Weekend AIML sessions run 5 hours straight (10 AM - 3 PM) without proper breaks. Exhausting for working parents with family commitments on weekends. || Resolution: Restructured to 3-hour sessions with 30-minute breaks every 90 minutes"/>
    <s v="AIML"/>
    <x v="1"/>
    <n v="3"/>
    <s v="Complete"/>
    <s v="Solved"/>
    <s v="OK"/>
    <s v="OK"/>
    <s v="OK"/>
    <s v="Weekend AIML sessions run 5 hours straight (10 AM - 3 PM) without proper breaks. Exhausting for working parents with family commitments on weekends. || Resolution: Restructured to 3-hour sessions with 30-minute breaks every 90 minutes"/>
    <n v="21498"/>
    <s v="OK"/>
    <s v="RepeatedRemark"/>
    <n v="165.08500000013737"/>
    <s v="2025-35"/>
    <s v="2025-08"/>
    <s v="Breach"/>
    <b v="1"/>
  </r>
  <r>
    <s v="75720877774"/>
    <s v="2025-08-10"/>
    <s v="13:52:11"/>
    <d v="2025-08-10T13:52:11"/>
    <s v="Sarah Johnson"/>
    <s v="2025-08-14"/>
    <s v="14:25:32"/>
    <d v="2025-08-14T14:25:32"/>
    <s v="Counselling Team - NPS"/>
    <s v="Counselling Team - NPS"/>
    <s v="Others (NPS)"/>
    <s v="8736851379"/>
    <s v="learner193@example.com"/>
    <s v="Academy DevOps Aug25 timing changes announced with 1-day notice. Difficult to reschedule work meetings and personal commitments on short notice. || Resolution: Implemented 1-week advance notice policy for any schedule changes"/>
    <s v="Academy"/>
    <x v="1"/>
    <n v="4"/>
    <s v="Complete"/>
    <s v="Solved"/>
    <s v="OK"/>
    <s v="OK"/>
    <s v="OK"/>
    <s v="Academy DevOps Aug25 timing changes announced with 1-day notice. Difficult to reschedule work meetings and personal commitments on short notice. || Resolution: Implemented 1-week advance notice policy for any schedule changes"/>
    <n v="21166"/>
    <s v="OK"/>
    <s v="OK"/>
    <n v="96.555833333346527"/>
    <s v="2025-32"/>
    <s v="2025-08"/>
    <s v="Breach"/>
    <b v="1"/>
  </r>
  <r>
    <s v="75638680070"/>
    <s v="2025-08-16"/>
    <s v="11:12:52"/>
    <d v="2025-08-16T11:12:52"/>
    <s v="Jessica Kim"/>
    <s v="2025-08-18"/>
    <s v="11:07:00"/>
    <d v="2025-08-18T11:07:00"/>
    <s v="Counselling Team - NPS"/>
    <s v="Counselling Team - NPS"/>
    <s v="Program &amp; Classroom (NPS)"/>
    <s v="8598757527"/>
    <s v="learner194@example.com"/>
    <s v="Lecture slides contain only bullet points without detailed explanations. Need comprehensive notes for exam preparation and interview revision. || Resolution: Enhanced slides with detailed explanations and examples"/>
    <s v="Academy"/>
    <x v="11"/>
    <n v="7"/>
    <s v="Complete"/>
    <s v="Solved"/>
    <s v="OK"/>
    <s v="OK"/>
    <s v="OK"/>
    <s v="Lecture slides contain only bullet points without detailed explanations. Need comprehensive notes for exam preparation and interview revision. || Resolution: Enhanced slides with detailed explanations and examples"/>
    <n v="20736"/>
    <s v="OK"/>
    <s v="RepeatedRemark"/>
    <n v="47.902222222066484"/>
    <s v="2025-33"/>
    <s v="2025-08"/>
    <s v="OK"/>
    <b v="1"/>
  </r>
  <r>
    <s v="75538288872"/>
    <s v="2025-08-05"/>
    <s v="10:57:54"/>
    <d v="2025-08-05T10:57:54"/>
    <s v="Amit Patel"/>
    <s v="2025-08-07"/>
    <s v="12:57:41"/>
    <d v="2025-08-07T12:57:41"/>
    <s v="Counselling Team - NPS"/>
    <s v="Counselling Team - NPS"/>
    <s v="Program &amp; Classroom (NPS)"/>
    <s v="7526252306"/>
    <s v="learner195@example.com"/>
    <s v="Screen sharing resolution too low during coding sessions. Can't read code examples on mobile device. Zoom compression makes text blurry. || Resolution: Upgraded streaming quality to 1080p and optimized for mobile viewing"/>
    <s v="DSML"/>
    <x v="13"/>
    <n v="1"/>
    <s v="Complete"/>
    <s v="Solved"/>
    <s v="OK"/>
    <s v="OK"/>
    <s v="OK"/>
    <s v="Screen sharing resolution too low during coding sessions. Can't read code examples on mobile device. Zoom compression makes text blurry. || Resolution: Upgraded streaming quality to 1080p and optimized for mobile viewing"/>
    <n v="20792"/>
    <s v="OK"/>
    <s v="RepeatedRemark"/>
    <n v="49.996388888801448"/>
    <s v="2025-32"/>
    <s v="2025-08"/>
    <s v="OK"/>
    <b v="1"/>
  </r>
  <r>
    <s v="75431656371"/>
    <s v="2025-08-28"/>
    <s v="15:43:27"/>
    <d v="2025-08-28T15:43:27"/>
    <s v="Priya Sharma"/>
    <m/>
    <m/>
    <s v=""/>
    <s v="Counselling Team - NPS"/>
    <s v="Counselling Team - NPS"/>
    <s v="Program &amp; Classroom (NPS)"/>
    <s v="8520174713"/>
    <s v="learner196@example.com"/>
    <s v="Teaching pace in Data Structures class is inconsistent. Some days covers 3 algorithms, other days struggles with basic concepts. No structured lesson planning visible. || Resolution: Introduced standardized lesson plans with time allocations"/>
    <s v="DSML"/>
    <x v="6"/>
    <n v="5"/>
    <s v="Pending"/>
    <s v="Awaiting Action - Learner"/>
    <s v="OK"/>
    <s v="OK"/>
    <s v="OK"/>
    <s v="Teaching pace in Data Structures class is inconsistent. Some days covers 3 algorithms, other days struggles with basic concepts. No structured lesson planning visible. || Resolution: Introduced standardized lesson plans with time allocations"/>
    <n v="23107"/>
    <s v="OK"/>
    <s v="RepeatedRemark"/>
    <e v="#N/A"/>
    <s v="2025-35"/>
    <s v="2025-08"/>
    <s v="Open"/>
    <b v="0"/>
  </r>
  <r>
    <s v="75842373256"/>
    <s v="2025-08-10"/>
    <s v="17:30:03"/>
    <d v="2025-08-10T17:30:03"/>
    <s v="Mike Chen"/>
    <s v="2025-08-20"/>
    <s v="18:15:41"/>
    <d v="2025-08-20T18:15:41"/>
    <s v="Counselling Team - NPS"/>
    <s v="Counselling Team - NPS"/>
    <s v="Others (NPS)"/>
    <s v="8201628712"/>
    <s v="learner197@example.com"/>
    <s v="Weekly mentor sessions rushed and superficial. Last call was 8 minutes discussing 6-month career roadmap. Need dedicated time for meaningful guidance. || Resolution: Increased minimum session duration to 30 minutes with structured agenda"/>
    <s v="DevOps"/>
    <x v="9"/>
    <n v="2"/>
    <s v="Complete"/>
    <s v="Solved"/>
    <s v="OK"/>
    <s v="OK"/>
    <s v="OK"/>
    <s v="Weekly mentor sessions rushed and superficial. Last call was 8 minutes discussing 6-month career roadmap. Need dedicated time for meaningful guidance. || Resolution: Increased minimum session duration to 30 minutes with structured agenda"/>
    <n v="22452"/>
    <s v="OK"/>
    <s v="RepeatedRemark"/>
    <n v="240.76055555557832"/>
    <s v="2025-32"/>
    <s v="2025-08"/>
    <s v="Breach"/>
    <b v="1"/>
  </r>
  <r>
    <s v="75915057244"/>
    <s v="2025-09-21"/>
    <s v="17:50:31"/>
    <d v="2025-09-21T17:50:31"/>
    <s v="Amit Patel"/>
    <s v="2025-10-02"/>
    <s v="17:50:01"/>
    <d v="2025-10-02T17:50:01"/>
    <s v="Counselling Team - NPS"/>
    <s v="Counselling Team - NPS"/>
    <s v="Tech (NPS)"/>
    <s v="9429453032"/>
    <s v="learner198@example.com"/>
    <s v="Group project team members unresponsive and not contributing equally. Carrying entire workload solo while others get same grades. Need individual assessment. || Resolution: Implemented peer evaluation system and individual contribution tracking"/>
    <s v="DSML"/>
    <x v="0"/>
    <n v="9"/>
    <s v="Complete"/>
    <s v="Solved"/>
    <s v="OK"/>
    <s v="OK"/>
    <s v="OK"/>
    <s v="Group project team members unresponsive and not contributing equally. Carrying entire workload solo while others get same grades. Need individual assessment. || Resolution: Implemented peer evaluation system and individual contribution tracking"/>
    <n v="23735"/>
    <s v="OK"/>
    <s v="OK"/>
    <n v="263.9916666666395"/>
    <s v="2025-38"/>
    <s v="2025-09"/>
    <s v="Breach"/>
    <b v="1"/>
  </r>
  <r>
    <s v="75462911855"/>
    <s v="2025-08-02"/>
    <s v="16:33:22"/>
    <d v="2025-08-02T16:33:22"/>
    <s v="Sneha Reddy"/>
    <s v="2025-08-06"/>
    <s v="09:57:51"/>
    <d v="2025-08-06T09:57:51"/>
    <s v="Counselling Team - NPS"/>
    <s v="Counselling Team - NPS"/>
    <s v="Placement (NPS)"/>
    <s v="7999705716"/>
    <s v="learner199@example.com"/>
    <s v="Multiple interview rounds cleared but final selection goes to internal referrals. External candidates seem disadvantaged despite equal performance. || Resolution: Expanded alumni network for referral opportunities and insider advocacy"/>
    <s v="DevOps"/>
    <x v="8"/>
    <n v="3"/>
    <s v="Complete"/>
    <s v="Solved"/>
    <s v="OK"/>
    <s v="OK"/>
    <s v="OK"/>
    <s v="Multiple interview rounds cleared but final selection goes to internal referrals. External candidates seem disadvantaged despite equal performance. || Resolution: Expanded alumni network for referral opportunities and insider advocacy"/>
    <n v="22764"/>
    <s v="OK"/>
    <s v="RepeatedRemark"/>
    <n v="89.408055555482861"/>
    <s v="2025-31"/>
    <s v="2025-08"/>
    <s v="Breach"/>
    <b v="1"/>
  </r>
  <r>
    <s v="75780968571"/>
    <s v="2025-08-18"/>
    <s v="11:11:15"/>
    <d v="2025-08-18T11:11:15"/>
    <s v="Sneha Reddy"/>
    <s v="2025-08-30"/>
    <s v="09:48:14"/>
    <d v="2025-08-30T09:48:14"/>
    <s v="Counselling Team - NPS"/>
    <s v="Counselling Team - NPS"/>
    <s v="Others (NPS)"/>
    <s v="8365818354"/>
    <s v="learner200@example.com"/>
    <s v="Weekend AIML sessions run 5 hours straight (10 AM - 3 PM) without proper breaks. Exhausting for working parents with family commitments on weekends. || Resolution: Restructured to 3-hour sessions with 30-minute breaks every 90 minutes"/>
    <s v="DSML"/>
    <x v="1"/>
    <n v="3"/>
    <s v="Complete"/>
    <s v="Solved"/>
    <s v="OK"/>
    <s v="OK"/>
    <s v="OK"/>
    <s v="Weekend AIML sessions run 5 hours straight (10 AM - 3 PM) without proper breaks. Exhausting for working parents with family commitments on weekends. || Resolution: Restructured to 3-hour sessions with 30-minute breaks every 90 minutes"/>
    <n v="21498"/>
    <s v="OK"/>
    <s v="RepeatedRemark"/>
    <n v="286.616388888855"/>
    <s v="2025-34"/>
    <s v="2025-08"/>
    <s v="Breach"/>
    <b v="1"/>
  </r>
  <r>
    <s v="75982101860"/>
    <s v="2025-09-14"/>
    <s v="13:11:31"/>
    <d v="2025-09-14T13:11:31"/>
    <s v="Sarah Johnson"/>
    <s v="2025-09-24"/>
    <s v="18:09:36"/>
    <d v="2025-09-24T18:09:36"/>
    <s v="Counselling Team - NPS"/>
    <s v="Counselling Team - NPS"/>
    <s v="Others (NPS)"/>
    <s v="7387652480"/>
    <s v="learner201@example.com"/>
    <s v="Told course would take 6 months but curriculum actually requires 10+ months for completion. Time commitment significantly underestimated. || Resolution: Updated course duration estimates and provided realistic timeline planning"/>
    <s v="AIML"/>
    <x v="2"/>
    <n v="6"/>
    <s v="Complete"/>
    <s v="Solved"/>
    <s v="OK"/>
    <s v="OK"/>
    <s v="OK"/>
    <s v="Told course would take 6 months but curriculum actually requires 10+ months for completion. Time commitment significantly underestimated. || Resolution: Updated course duration estimates and provided realistic timeline planning"/>
    <n v="21945"/>
    <s v="OK"/>
    <s v="RepeatedRemark"/>
    <n v="244.96805555565516"/>
    <s v="2025-37"/>
    <s v="2025-09"/>
    <s v="Breach"/>
    <b v="1"/>
  </r>
  <r>
    <s v="75765887237"/>
    <s v="2025-09-03"/>
    <s v="20:11:58"/>
    <d v="2025-09-03T20:11:58"/>
    <s v="Amit Patel"/>
    <s v="2025-09-09"/>
    <s v="18:12:51"/>
    <d v="2025-09-09T18:12:51"/>
    <s v="Counselling Team - NPS"/>
    <s v="Counselling Team - NPS"/>
    <s v="Program &amp; Classroom (NPS)"/>
    <s v="7255790920"/>
    <s v="learner202@example.com"/>
    <s v="Priya Patel rushes through Python concepts without checking student understanding. Covers list comprehensions, decorators, and generators in single session. No time for practice exercises. || Resolution: Restructured curriculum to allocate more time per concept"/>
    <s v="AIML"/>
    <x v="6"/>
    <n v="6"/>
    <s v="Complete"/>
    <s v="In Progress"/>
    <s v="OK"/>
    <s v="OK"/>
    <s v="OK"/>
    <s v="Priya Patel rushes through Python concepts without checking student understanding. Covers list comprehensions, decorators, and generators in single session. No time for practice exercises. || Resolution: Restructured curriculum to allocate more time per concept"/>
    <n v="25252"/>
    <s v="OK"/>
    <s v="RepeatedRemark"/>
    <n v="142.01472222211305"/>
    <s v="2025-36"/>
    <s v="2025-09"/>
    <s v="Breach"/>
    <b v="1"/>
  </r>
  <r>
    <s v="75508482467"/>
    <s v="2025-09-19"/>
    <s v="14:19:20"/>
    <d v="2025-09-19T14:19:20"/>
    <s v="Priya Sharma"/>
    <s v="2025-09-28"/>
    <s v="14:04:23"/>
    <d v="2025-09-28T14:04:23"/>
    <s v="Counselling Team - NPS"/>
    <s v="Counselling Team - NPS"/>
    <s v="Program &amp; Classroom (NPS)"/>
    <s v="7676474018"/>
    <s v="learner203@example.com"/>
    <s v="Instructor Nina Patel David Chen frequently cancels AWS sessions due to health issues. This month: 5 out of 8 scheduled classes cancelled. Students falling behind on cloud certification timeline. || Resolution: Assigned backup instructor and provided comprehensive recorded sessions"/>
    <s v="DSML"/>
    <x v="6"/>
    <n v="7"/>
    <s v="Complete"/>
    <s v="Solved"/>
    <s v="OK"/>
    <s v="OK"/>
    <s v="OK"/>
    <s v="Instructor Nina Patel David Chen frequently cancels AWS sessions due to health issues. This month: 5 out of 8 scheduled classes cancelled. Students falling behind on cloud certification timeline. || Resolution: Assigned backup instructor and provided comprehensive recorded sessions"/>
    <n v="26736"/>
    <s v="OK"/>
    <s v="OK"/>
    <n v="215.75083333341172"/>
    <s v="2025-38"/>
    <s v="2025-09"/>
    <s v="Breach"/>
    <b v="1"/>
  </r>
  <r>
    <s v="75639699130"/>
    <s v="2025-09-15"/>
    <s v="19:37:52"/>
    <d v="2025-09-15T19:37:52"/>
    <s v="Priya Sharma"/>
    <m/>
    <m/>
    <s v=""/>
    <s v="Counselling Team - NPS"/>
    <s v="Counselling Team - NPS"/>
    <s v="Program &amp; Classroom (NPS)"/>
    <s v="8625147377"/>
    <s v="learner204@example.com"/>
    <s v="Evening AIML Jul25 starts at 7 PM when dinner time with family. Work-life balance getting affected due to late learning schedule. || Resolution: Introduced early evening slots (6-8 PM) based on demand"/>
    <s v="DevOps"/>
    <x v="7"/>
    <n v="2"/>
    <s v="Pending"/>
    <s v="In Progress"/>
    <s v="OK"/>
    <s v="OK"/>
    <s v="OK"/>
    <s v="Evening AIML Jul25 starts at 7 PM when dinner time with family. Work-life balance getting affected due to late learning schedule. || Resolution: Introduced early evening slots (6-8 PM) based on demand"/>
    <n v="18023"/>
    <s v="OK"/>
    <s v="OK"/>
    <e v="#N/A"/>
    <s v="2025-38"/>
    <s v="2025-09"/>
    <s v="Open"/>
    <b v="0"/>
  </r>
  <r>
    <s v="75434770706"/>
    <s v="2025-08-01"/>
    <s v="11:38:20"/>
    <d v="2025-08-01T11:38:20"/>
    <s v="Sneha Reddy"/>
    <m/>
    <m/>
    <s v=""/>
    <s v="Counselling Team - NPS"/>
    <s v="Counselling Team - NPS"/>
    <s v="Placement (NPS)"/>
    <s v="7948737873"/>
    <s v="learner205@example.com"/>
    <s v="Resume format doesn't work for startup applications. Too formal for young companies, but changing format affects ATS performance at large corporations. || Resolution: Created dual resume strategy for different Wipro types"/>
    <s v="DSML"/>
    <x v="10"/>
    <n v="4"/>
    <s v="Pending"/>
    <s v="In Progress"/>
    <s v="OK"/>
    <s v="OK"/>
    <s v="OK"/>
    <s v="Resume format doesn't work for startup applications. Too formal for young companies, but changing format affects ATS performance at large corporations. || Resolution: Created dual resume strategy for different Wipro types"/>
    <n v="21117"/>
    <s v="OK"/>
    <s v="OK"/>
    <e v="#N/A"/>
    <s v="2025-31"/>
    <s v="2025-08"/>
    <s v="Open"/>
    <b v="0"/>
  </r>
  <r>
    <s v="75760508244"/>
    <s v="2025-09-17"/>
    <s v="16:00:16"/>
    <d v="2025-09-17T16:00:16"/>
    <s v="David Wilson"/>
    <s v="2025-09-23"/>
    <s v="14:10:40"/>
    <d v="2025-09-23T14:10:40"/>
    <s v="Counselling Team - NPS"/>
    <s v="Counselling Team - NPS"/>
    <s v="Program &amp; Classroom (NPS)"/>
    <s v="8071769843"/>
    <s v="learner206@example.com"/>
    <s v="Screen sharing resolution too low during coding sessions. Can't read code examples on mobile device. Zoom compression makes text blurry. || Resolution: Upgraded streaming quality to 1080p and optimized for mobile viewing"/>
    <s v="Academy"/>
    <x v="13"/>
    <n v="2"/>
    <s v="Complete"/>
    <s v="Solved"/>
    <s v="OK"/>
    <s v="OK"/>
    <s v="OK"/>
    <s v="Screen sharing resolution too low during coding sessions. Can't read code examples on mobile device. Zoom compression makes text blurry. || Resolution: Upgraded streaming quality to 1080p and optimized for mobile viewing"/>
    <n v="20792"/>
    <s v="OK"/>
    <s v="RepeatedRemark"/>
    <n v="142.17333333345596"/>
    <s v="2025-38"/>
    <s v="2025-09"/>
    <s v="Breach"/>
    <b v="1"/>
  </r>
  <r>
    <s v="75929442753"/>
    <s v="2025-08-04"/>
    <s v="15:22:34"/>
    <d v="2025-08-04T15:22:34"/>
    <s v="Jessica Kim"/>
    <s v="2025-08-16"/>
    <s v="15:10:56"/>
    <d v="2025-08-16T15:10:56"/>
    <s v="Counselling Team - NPS"/>
    <s v="Counselling Team - NPS"/>
    <s v="Program &amp; Classroom (NPS)"/>
    <s v="7435632331"/>
    <s v="learner207@example.com"/>
    <s v="Weekend Academy Jul25 Beginner timing (10 AM - 2 PM) conflicts with family time. Children's activities and household responsibilities suffer due to class schedule. || Resolution: Created flexible weekend options with shorter session formats"/>
    <s v="DSML"/>
    <x v="7"/>
    <n v="7"/>
    <s v="Complete"/>
    <s v="Solved"/>
    <s v="OK"/>
    <s v="OK"/>
    <s v="OK"/>
    <s v="Weekend Academy Jul25 Beginner timing (10 AM - 2 PM) conflicts with family time. Children's activities and household responsibilities suffer due to class schedule. || Resolution: Created flexible weekend options with shorter session formats"/>
    <n v="22285"/>
    <s v="OK"/>
    <s v="RepeatedRemark"/>
    <n v="287.80611111101462"/>
    <s v="2025-32"/>
    <s v="2025-08"/>
    <s v="Breach"/>
    <b v="1"/>
  </r>
  <r>
    <s v="75680383739"/>
    <s v="2025-08-15"/>
    <s v="10:04:21"/>
    <d v="2025-08-15T10:04:21"/>
    <s v="Priya Sharma"/>
    <s v="2025-08-17"/>
    <s v="09:18:01"/>
    <d v="2025-08-17T09:18:01"/>
    <s v="Counselling Team - NPS"/>
    <s v="Counselling Team - NPS"/>
    <s v="Program &amp; Classroom (NPS)"/>
    <s v="8612579345"/>
    <s v="learner208@example.com"/>
    <s v="Lecture slides contain only bullet points without detailed explanations. Need comprehensive notes for exam preparation and interview revision. || Resolution: Enhanced slides with detailed explanations and examples"/>
    <s v="DevOps"/>
    <x v="11"/>
    <n v="7"/>
    <s v="Complete"/>
    <s v="Solved"/>
    <s v="OK"/>
    <s v="OK"/>
    <s v="OK"/>
    <s v="Lecture slides contain only bullet points without detailed explanations. Need comprehensive notes for exam preparation and interview revision. || Resolution: Enhanced slides with detailed explanations and examples"/>
    <n v="20736"/>
    <s v="OK"/>
    <s v="RepeatedRemark"/>
    <n v="47.227777777821757"/>
    <s v="2025-33"/>
    <s v="2025-08"/>
    <s v="OK"/>
    <b v="1"/>
  </r>
  <r>
    <s v="75863129902"/>
    <s v="2025-09-08"/>
    <s v="19:10:38"/>
    <d v="2025-09-08T19:10:38"/>
    <s v="Jessica Kim"/>
    <m/>
    <m/>
    <s v=""/>
    <s v="Counselling Team - NPS"/>
    <s v="Counselling Team - NPS"/>
    <s v="Others (NPS)"/>
    <s v="7674755608"/>
    <s v="learner209@example.com"/>
    <s v="Weekend AIML sessions run 5 hours straight (10 AM - 3 PM) without proper breaks. Exhausting for working parents with family commitments on weekends. || Resolution: Restructured to 3-hour sessions with 30-minute breaks every 90 minutes"/>
    <s v="Academy"/>
    <x v="1"/>
    <n v="7"/>
    <s v="Pending"/>
    <s v="Awaiting Action - Learner"/>
    <s v="OK"/>
    <s v="OK"/>
    <s v="OK"/>
    <s v="Weekend AIML sessions run 5 hours straight (10 AM - 3 PM) without proper breaks. Exhausting for working parents with family commitments on weekends. || Resolution: Restructured to 3-hour sessions with 30-minute breaks every 90 minutes"/>
    <n v="21498"/>
    <s v="OK"/>
    <s v="RepeatedRemark"/>
    <e v="#N/A"/>
    <s v="2025-37"/>
    <s v="2025-09"/>
    <s v="Open"/>
    <b v="0"/>
  </r>
  <r>
    <s v="75719331516"/>
    <s v="2025-08-27"/>
    <s v="12:06:03"/>
    <d v="2025-08-27T12:06:03"/>
    <s v="Jessica Kim"/>
    <s v="2025-09-08"/>
    <s v="17:16:42"/>
    <d v="2025-09-08T17:16:42"/>
    <s v="Counselling Team - NPS"/>
    <s v="Counselling Team - NPS"/>
    <s v="Program &amp; Classroom (NPS)"/>
    <s v="9455732633"/>
    <s v="learner210@example.com"/>
    <s v="Sarah Johnson teaching DevOps has microphone issues every class. Voice cuts out during Docker explanations, students miss critical commands. Reported 4 times this month, still not fixed. || Resolution: Technical team replaced instructor's audio equipment immediately"/>
    <s v="DevOps"/>
    <x v="6"/>
    <n v="1"/>
    <s v="Complete"/>
    <s v="Solved"/>
    <s v="OK"/>
    <s v="OK"/>
    <s v="OK"/>
    <s v="Sarah Johnson teaching DevOps has microphone issues every class. Voice cuts out during Docker explanations, students miss critical commands. Reported 4 times this month, still not fixed. || Resolution: Technical team replaced instructor's audio equipment immediately"/>
    <n v="25367"/>
    <s v="OK"/>
    <s v="OK"/>
    <n v="293.17749999999069"/>
    <s v="2025-35"/>
    <s v="2025-08"/>
    <s v="Breach"/>
    <b v="1"/>
  </r>
  <r>
    <s v="75427633490"/>
    <s v="2025-08-01"/>
    <s v="12:10:40"/>
    <d v="2025-08-01T12:10:40"/>
    <s v="Lisa Rodriguez"/>
    <s v="2025-08-06"/>
    <s v="18:30:12"/>
    <d v="2025-08-06T18:30:12"/>
    <s v="Counselling Team - NPS"/>
    <s v="Counselling Team - NPS"/>
    <s v="Placement (NPS)"/>
    <s v="7351912852"/>
    <s v="learner211@example.com"/>
    <s v="Geographic restrictions limiting opportunities. Family commitments require staying in Tier-2 city but most opportunities in Bangalore/Hyderabad. || Resolution: Focused on remote opportunities and companies with distributed teams"/>
    <s v="Academy"/>
    <x v="8"/>
    <n v="7"/>
    <s v="Complete"/>
    <s v="Solved"/>
    <s v="OK"/>
    <s v="OK"/>
    <s v="OK"/>
    <s v="Geographic restrictions limiting opportunities. Family commitments require staying in Tier-2 city but most opportunities in Bangalore/Hyderabad. || Resolution: Focused on remote opportunities and companies with distributed teams"/>
    <n v="22209"/>
    <s v="OK"/>
    <s v="RepeatedRemark"/>
    <n v="126.32555555552244"/>
    <s v="2025-31"/>
    <s v="2025-08"/>
    <s v="Breach"/>
    <b v="1"/>
  </r>
  <r>
    <s v="75598514700"/>
    <s v="2025-08-31"/>
    <s v="14:56:24"/>
    <d v="2025-08-31T14:56:24"/>
    <s v="Amit Patel"/>
    <s v="2025-09-11"/>
    <s v="13:05:41"/>
    <d v="2025-09-11T13:05:41"/>
    <s v="Counselling Team - NPS"/>
    <s v="Counselling Team - NPS"/>
    <s v="Tech (NPS)"/>
    <s v="7801367625"/>
    <s v="learner212@example.com"/>
    <s v="Teaching Assistant lacks depth in advanced topics. Can help with basic syntax but struggles with algorithm optimization and complexity analysis questions. || Resolution: Assigned senior TA with computer science background for advanced topic support"/>
    <s v="DSML"/>
    <x v="4"/>
    <n v="4"/>
    <s v="Complete"/>
    <s v="Solved"/>
    <s v="OK"/>
    <s v="OK"/>
    <s v="OK"/>
    <s v="Teaching Assistant lacks depth in advanced topics. Can help with basic syntax but struggles with algorithm optimization and complexity analysis questions. || Resolution: Assigned senior TA with computer science background for advanced topic support"/>
    <n v="23927"/>
    <s v="OK"/>
    <s v="RepeatedRemark"/>
    <n v="262.15472222235985"/>
    <s v="2025-35"/>
    <s v="2025-08"/>
    <s v="Breach"/>
    <b v="1"/>
  </r>
  <r>
    <s v="75492027526"/>
    <s v="2025-08-17"/>
    <s v="19:22:51"/>
    <d v="2025-08-17T19:22:51"/>
    <s v="Rohit Gupta"/>
    <s v="2025-08-22"/>
    <s v="18:03:09"/>
    <d v="2025-08-22T18:03:09"/>
    <s v="Counselling Team - NPS"/>
    <s v="Counselling Team - NPS"/>
    <s v="Tech (NPS)"/>
    <s v="8778059107"/>
    <s v="learner213@example.com"/>
    <s v="TA Rohit takes 2-3 days to respond to doubt resolution requests. Critical errors in assignments go unresolved, affecting submission deadlines. || Resolution: Implemented 24-hour response SLA for TAs and hired additional support staff"/>
    <s v="Academy"/>
    <x v="4"/>
    <n v="3"/>
    <s v="Complete"/>
    <s v="Solved"/>
    <s v="OK"/>
    <s v="OK"/>
    <s v="OK"/>
    <s v="TA Rohit takes 2-3 days to respond to doubt resolution requests. Critical errors in assignments go unresolved, affecting submission deadlines. || Resolution: Implemented 24-hour response SLA for TAs and hired additional support staff"/>
    <n v="21891"/>
    <s v="OK"/>
    <s v="RepeatedRemark"/>
    <n v="118.67166666663252"/>
    <s v="2025-33"/>
    <s v="2025-08"/>
    <s v="Breach"/>
    <b v="1"/>
  </r>
  <r>
    <s v="75720890008"/>
    <s v="2025-09-03"/>
    <s v="10:25:57"/>
    <d v="2025-09-03T10:25:57"/>
    <s v="Sarah Johnson"/>
    <s v="2025-09-12"/>
    <s v="16:36:56"/>
    <d v="2025-09-12T16:36:56"/>
    <s v="Counselling Team - NPS"/>
    <s v="Counselling Team - NPS"/>
    <s v="Others (NPS)"/>
    <s v="9156509381"/>
    <s v="learner214@example.com"/>
    <s v="Sales promised 100% job guarantee within 6 months but placement team says no such commitment exists. Feel misled about course outcomes. || Resolution: Clarified placement support terms and provided additional career assistance"/>
    <s v="AIML"/>
    <x v="2"/>
    <n v="1"/>
    <s v="Complete"/>
    <s v="Solved"/>
    <s v="OK"/>
    <s v="OK"/>
    <s v="OK"/>
    <s v="Sales promised 100% job guarantee within 6 months but placement team says no such commitment exists. Feel misled about course outcomes. || Resolution: Clarified placement support terms and provided additional career assistance"/>
    <n v="21446"/>
    <s v="OK"/>
    <s v="RepeatedRemark"/>
    <n v="222.18305555556435"/>
    <s v="2025-36"/>
    <s v="2025-09"/>
    <s v="Breach"/>
    <b v="1"/>
  </r>
  <r>
    <s v="75606938058"/>
    <s v="2025-08-12"/>
    <s v="11:02:27"/>
    <d v="2025-08-12T11:02:27"/>
    <m/>
    <m/>
    <m/>
    <s v=""/>
    <s v="Counselling Team - NPS"/>
    <s v="Counselling Team - NPS"/>
    <s v="Placement (NPS)"/>
    <s v="9934001543"/>
    <s v="learner215@example.com"/>
    <s v="Placement team requires 2+ years experience but won't help freshers. Catch-22 situation where experience needed for placement but placement needed for experience. || Resolution: Launched fresh graduate placement track with entry-level focused companies"/>
    <s v="AIML"/>
    <x v="5"/>
    <n v="5"/>
    <s v="Pending"/>
    <s v="Awaiting Action - Scaler"/>
    <s v="Missing"/>
    <s v="OK"/>
    <s v="OK"/>
    <s v="Placement team requires 2+ years experience but won't help freshers. Catch-22 situation where experience needed for placement but placement needed for experience. || Resolution: Launched fresh graduate placement track with entry-level focused companies"/>
    <n v="23910"/>
    <s v="OK"/>
    <s v="RepeatedRemark"/>
    <e v="#N/A"/>
    <s v="2025-33"/>
    <s v="2025-08"/>
    <s v="Open"/>
    <b v="0"/>
  </r>
  <r>
    <s v="75997391512"/>
    <s v="2025-08-21"/>
    <s v="15:35:20"/>
    <d v="2025-08-21T15:35:20"/>
    <s v="Lisa Rodriguez"/>
    <m/>
    <m/>
    <s v=""/>
    <s v="Counselling Team - NPS"/>
    <s v="Counselling Team - NPS"/>
    <s v="Others (NPS)"/>
    <s v="9232043732"/>
    <s v="learner216@example.com"/>
    <s v="Python assignment auto-grading system has bugs. Correct solutions marked wrong due to output formatting differences. Frustrating when code logic is perfect. || Resolution: Fixed grading system and manually reviewed affected submissions"/>
    <s v="Academy"/>
    <x v="0"/>
    <n v="4"/>
    <s v="Pending"/>
    <s v="Awaiting Action - Scaler"/>
    <s v="OK"/>
    <s v="OK"/>
    <s v="OK"/>
    <s v="Python assignment auto-grading system has bugs. Correct solutions marked wrong due to output formatting differences. Frustrating when code logic is perfect. || Resolution: Fixed grading system and manually reviewed affected submissions"/>
    <n v="22713"/>
    <s v="OK"/>
    <s v="RepeatedRemark"/>
    <e v="#N/A"/>
    <s v="2025-34"/>
    <s v="2025-08"/>
    <s v="Open"/>
    <b v="0"/>
  </r>
  <r>
    <s v="75513424523"/>
    <s v="2025-09-20"/>
    <s v="18:49:06"/>
    <d v="2025-09-20T18:49:06"/>
    <s v="Lisa Rodriguez"/>
    <s v="2025-09-27"/>
    <s v="11:09:36"/>
    <d v="2025-09-27T11:09:36"/>
    <s v="Counselling Team - NPS"/>
    <s v="Counselling Team - NPS"/>
    <s v="Tech (NPS)"/>
    <s v="9300528259"/>
    <s v="learner217@example.com"/>
    <s v="TA Rohit takes 2-3 days to respond to doubt resolution requests. Critical errors in assignments go unresolved, affecting submission deadlines. || Resolution: Implemented 24-hour response SLA for TAs and hired additional support staff"/>
    <s v="Academy"/>
    <x v="4"/>
    <n v="8"/>
    <s v="Complete"/>
    <s v="Solved"/>
    <s v="OK"/>
    <s v="OK"/>
    <s v="OK"/>
    <s v="TA Rohit takes 2-3 days to respond to doubt resolution requests. Critical errors in assignments go unresolved, affecting submission deadlines. || Resolution: Implemented 24-hour response SLA for TAs and hired additional support staff"/>
    <n v="21891"/>
    <s v="OK"/>
    <s v="RepeatedRemark"/>
    <n v="160.3416666664998"/>
    <s v="2025-38"/>
    <s v="2025-09"/>
    <s v="Breach"/>
    <b v="1"/>
  </r>
  <r>
    <s v="75554460628"/>
    <s v="2025-09-01"/>
    <s v="18:38:43"/>
    <d v="2025-09-01T18:38:43"/>
    <s v="Jessica Kim"/>
    <s v="2025-09-09"/>
    <s v="09:11:17"/>
    <d v="2025-09-09T09:11:17"/>
    <s v="Counselling Team - NPS"/>
    <s v="Counselling Team - NPS"/>
    <s v="Placement (NPS)"/>
    <s v="7166569717"/>
    <s v="learner218@example.com"/>
    <s v="Interested in international opportunities but confused about visa processes, skill requirements, and cultural preparation for US/Canada markets. || Resolution: Connected with professionals who successfully relocated internationally"/>
    <s v="DSML"/>
    <x v="3"/>
    <n v="9"/>
    <s v="Complete"/>
    <s v="Solved"/>
    <s v="OK"/>
    <s v="OK"/>
    <s v="OK"/>
    <s v="Interested in international opportunities but confused about visa processes, skill requirements, and cultural preparation for US/Canada markets. || Resolution: Connected with professionals who successfully relocated internationally"/>
    <n v="22668"/>
    <s v="OK"/>
    <s v="RepeatedRemark"/>
    <n v="182.54277777776588"/>
    <s v="2025-36"/>
    <s v="2025-09"/>
    <s v="Breach"/>
    <b v="1"/>
  </r>
  <r>
    <s v="75725402780"/>
    <s v="2025-08-31"/>
    <s v="13:17:53"/>
    <d v="2025-08-31T13:17:53"/>
    <s v="Carlos Martinez"/>
    <m/>
    <m/>
    <s v=""/>
    <s v="Counselling Team - NPS"/>
    <s v="Counselling Team - NPS"/>
    <s v="Tech (NPS)"/>
    <s v="9990082548"/>
    <s v="learner219@example.com"/>
    <s v="No code review feedback provided for assignments. Submitting working solutions but don't know if following best practices or industry standards. || Resolution: Introduced mandatory code review sessions with senior developers"/>
    <s v="Academy"/>
    <x v="0"/>
    <n v="7"/>
    <s v="Pending"/>
    <s v="Awaiting Action - Learner"/>
    <s v="OK"/>
    <s v="OK"/>
    <s v="OK"/>
    <s v="No code review feedback provided for assignments. Submitting working solutions but don't know if following best practices or industry standards. || Resolution: Introduced mandatory code review sessions with senior developers"/>
    <n v="21754"/>
    <s v="OK"/>
    <s v="RepeatedRemark"/>
    <e v="#N/A"/>
    <s v="2025-35"/>
    <s v="2025-08"/>
    <s v="Open"/>
    <b v="0"/>
  </r>
  <r>
    <s v="75601794412"/>
    <s v="2025-09-17"/>
    <s v="16:13:58"/>
    <d v="2025-09-17T16:13:58"/>
    <s v="Jessica Kim"/>
    <s v="2025-09-23"/>
    <s v="13:46:26"/>
    <d v="2025-09-23T13:46:26"/>
    <s v="Counselling Team - NPS"/>
    <s v="Counselling Team - NPS"/>
    <s v="Program &amp; Classroom (NPS)"/>
    <s v="9080741273"/>
    <s v="learner220@example.com"/>
    <s v="Screen sharing resolution too low during coding sessions. Can't read code examples on mobile device. Zoom compression makes text blurry. || Resolution: Upgraded streaming quality to 1080p and optimized for mobile viewing"/>
    <s v="Academy"/>
    <x v="13"/>
    <n v="3"/>
    <s v="Complete"/>
    <s v="Solved"/>
    <s v="OK"/>
    <s v="OK"/>
    <s v="OK"/>
    <s v="Screen sharing resolution too low during coding sessions. Can't read code examples on mobile device. Zoom compression makes text blurry. || Resolution: Upgraded streaming quality to 1080p and optimized for mobile viewing"/>
    <n v="20792"/>
    <s v="OK"/>
    <s v="RepeatedRemark"/>
    <n v="141.54111111100065"/>
    <s v="2025-38"/>
    <s v="2025-09"/>
    <s v="Breach"/>
    <b v="1"/>
  </r>
  <r>
    <s v="75606978174"/>
    <s v="2025-08-05"/>
    <s v="12:53:03"/>
    <d v="2025-08-05T12:53:03"/>
    <s v="David Wilson"/>
    <s v="2025-08-14"/>
    <s v="15:08:49"/>
    <d v="2025-08-14T15:08:49"/>
    <s v="Counselling Team - NPS"/>
    <s v="Counselling Team - NPS"/>
    <s v="Placement (NPS)"/>
    <s v="7142039044"/>
    <s v="learner221@example.com"/>
    <s v="Told course would take 6 months but curriculum actually requires 10+ months for completion. Time commitment significantly underestimated. || Resolution: Updated course duration estimates and provided realistic timeline planning"/>
    <s v="Academy"/>
    <x v="2"/>
    <n v="6"/>
    <s v="Complete"/>
    <s v="Solved"/>
    <s v="OK"/>
    <s v="OK"/>
    <s v="OK"/>
    <s v="Told course would take 6 months but curriculum actually requires 10+ months for completion. Time commitment significantly underestimated. || Resolution: Updated course duration estimates and provided realistic timeline planning"/>
    <n v="21945"/>
    <s v="OK"/>
    <s v="RepeatedRemark"/>
    <n v="218.26277777779615"/>
    <s v="2025-32"/>
    <s v="2025-08"/>
    <s v="Breach"/>
    <b v="1"/>
  </r>
  <r>
    <s v="75432816979"/>
    <s v="2025-08-18"/>
    <s v="12:23:31"/>
    <d v="2025-08-18T12:23:31"/>
    <s v="Sneha Reddy"/>
    <s v="2025-08-26"/>
    <s v="17:25:40"/>
    <d v="2025-08-26T17:25:40"/>
    <s v="Counselling Team - NPS"/>
    <s v="Counselling Team - NPS"/>
    <s v="Tech (NPS)"/>
    <s v="8915999663"/>
    <s v="learner222@example.com"/>
    <s v="TA Rohit takes 2-3 days to respond to doubt resolution requests. Critical errors in assignments go unresolved, affecting submission deadlines. || Resolution: Implemented 24-hour response SLA for TAs and hired additional support staff"/>
    <s v="Academy"/>
    <x v="4"/>
    <n v="7"/>
    <s v="Complete"/>
    <s v="Solved"/>
    <s v="OK"/>
    <s v="OK"/>
    <s v="OK"/>
    <s v="TA Rohit takes 2-3 days to respond to doubt resolution requests. Critical errors in assignments go unresolved, affecting submission deadlines. || Resolution: Implemented 24-hour response SLA for TAs and hired additional support staff"/>
    <n v="21891"/>
    <s v="OK"/>
    <s v="RepeatedRemark"/>
    <n v="197.03583333338611"/>
    <s v="2025-34"/>
    <s v="2025-08"/>
    <s v="Breach"/>
    <b v="1"/>
  </r>
  <r>
    <s v="75706090918"/>
    <s v="2025-08-11"/>
    <s v="09:24:03"/>
    <d v="2025-08-11T09:24:03"/>
    <s v="Priya Sharma"/>
    <m/>
    <m/>
    <s v=""/>
    <s v="Counselling Team - NPS"/>
    <s v="Counselling Team - NPS"/>
    <s v="Others (NPS)"/>
    <s v="9457829635"/>
    <s v="learner223@example.com"/>
    <s v="Holiday classes scheduled during Diwali week without considering festival commitments. Attendance drops to 30% affecting DevOps Aug25 momentum. || Resolution: Rescheduled holiday periods and created festival-friendly calendar"/>
    <s v="Academy"/>
    <x v="1"/>
    <n v="9"/>
    <s v="Pending"/>
    <s v="Awaiting Action - Learner"/>
    <s v="OK"/>
    <s v="OK"/>
    <s v="OK"/>
    <s v="Holiday classes scheduled during Diwali week without considering festival commitments. Attendance drops to 30% affecting DevOps Aug25 momentum. || Resolution: Rescheduled holiday periods and created festival-friendly calendar"/>
    <n v="21406"/>
    <s v="OK"/>
    <s v="RepeatedRemark"/>
    <e v="#N/A"/>
    <s v="2025-33"/>
    <s v="2025-08"/>
    <s v="Open"/>
    <b v="0"/>
  </r>
  <r>
    <s v="75542071170"/>
    <s v="2025-09-13"/>
    <s v="19:11:38"/>
    <d v="2025-09-13T19:11:38"/>
    <s v="Sarah Johnson"/>
    <s v="2025-09-24"/>
    <s v="15:32:01"/>
    <d v="2025-09-24T15:32:01"/>
    <s v="Counselling Team - NPS"/>
    <s v="Counselling Team - NPS"/>
    <s v="Others (NPS)"/>
    <s v="7961084962"/>
    <s v="learner224@example.com"/>
    <s v="Sales promised 100% job guarantee within 6 months but placement team says no such commitment exists. Feel misled about course outcomes. || Resolution: Clarified placement support terms and provided additional career assistance"/>
    <s v="Academy"/>
    <x v="2"/>
    <n v="8"/>
    <s v="Complete"/>
    <s v="Solved"/>
    <s v="OK"/>
    <s v="OK"/>
    <s v="OK"/>
    <s v="Sales promised 100% job guarantee within 6 months but placement team says no such commitment exists. Feel misled about course outcomes. || Resolution: Clarified placement support terms and provided additional career assistance"/>
    <n v="21446"/>
    <s v="OK"/>
    <s v="RepeatedRemark"/>
    <n v="260.33972222224111"/>
    <s v="2025-37"/>
    <s v="2025-09"/>
    <s v="Breach"/>
    <b v="1"/>
  </r>
  <r>
    <s v="75509856785"/>
    <s v="2025-08-23"/>
    <s v="09:32:42"/>
    <d v="2025-08-23T09:32:42"/>
    <s v="Amit Patel"/>
    <s v="2025-08-27"/>
    <s v="16:19:43"/>
    <d v="2025-08-27T16:19:43"/>
    <s v="Counselling Team - NPS"/>
    <s v="Counselling Team - NPS"/>
    <s v="Placement (NPS)"/>
    <s v="9411439945"/>
    <s v="learner225@example.com"/>
    <s v="Resume format doesn't work for startup applications. Too formal for young companies, but changing format affects ATS performance at large corporations. || Resolution: Created dual resume strategy for different Flipkart types"/>
    <s v="DSML"/>
    <x v="10"/>
    <n v="5"/>
    <s v="Complete"/>
    <s v="Solved"/>
    <s v="OK"/>
    <s v="OK"/>
    <s v="OK"/>
    <s v="Resume format doesn't work for startup applications. Too formal for young companies, but changing format affects ATS performance at large corporations. || Resolution: Created dual resume strategy for different Flipkart types"/>
    <n v="21417"/>
    <s v="OK"/>
    <s v="OK"/>
    <n v="102.78361111111008"/>
    <s v="2025-34"/>
    <s v="2025-08"/>
    <s v="Breach"/>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F1DBF5-7310-4D97-9AE5-E3D732F40804}" name="PivotTable3" cacheId="2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rowHeaderCaption="Issue Type">
  <location ref="A89:E105" firstHeaderRow="1" firstDataRow="2" firstDataCol="1"/>
  <pivotFields count="3">
    <pivotField axis="axisRow"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
        <item s="1" x="0"/>
        <item s="1" x="1"/>
        <item s="1" x="2"/>
        <item x="3"/>
      </items>
    </pivotField>
    <pivotField dataField="1" subtotalTop="0" showAll="0" defaultSubtotal="0"/>
  </pivotFields>
  <rowFields count="1">
    <field x="0"/>
  </rowFields>
  <rowItems count="15">
    <i>
      <x v="5"/>
    </i>
    <i>
      <x v="1"/>
    </i>
    <i>
      <x v="6"/>
    </i>
    <i>
      <x v="11"/>
    </i>
    <i>
      <x/>
    </i>
    <i>
      <x v="2"/>
    </i>
    <i>
      <x v="9"/>
    </i>
    <i>
      <x v="13"/>
    </i>
    <i>
      <x v="4"/>
    </i>
    <i>
      <x v="3"/>
    </i>
    <i>
      <x v="7"/>
    </i>
    <i>
      <x v="10"/>
    </i>
    <i>
      <x v="8"/>
    </i>
    <i>
      <x v="12"/>
    </i>
    <i t="grand">
      <x/>
    </i>
  </rowItems>
  <colFields count="1">
    <field x="1"/>
  </colFields>
  <colItems count="4">
    <i>
      <x/>
    </i>
    <i>
      <x v="1"/>
    </i>
    <i>
      <x v="2"/>
    </i>
    <i t="grand">
      <x/>
    </i>
  </colItems>
  <dataFields count="1">
    <dataField name="Ticket Count" fld="2" subtotal="count" baseField="0" baseItem="0"/>
  </dataFields>
  <chartFormats count="8">
    <chartFormat chart="15" format="0" series="1">
      <pivotArea type="data" outline="0" fieldPosition="0">
        <references count="2">
          <reference field="4294967294" count="1" selected="0">
            <x v="0"/>
          </reference>
          <reference field="1" count="1" selected="0">
            <x v="3"/>
          </reference>
        </references>
      </pivotArea>
    </chartFormat>
    <chartFormat chart="15" format="1" series="1">
      <pivotArea type="data" outline="0" fieldPosition="0">
        <references count="2">
          <reference field="4294967294" count="1" selected="0">
            <x v="0"/>
          </reference>
          <reference field="1" count="1" selected="0">
            <x v="0"/>
          </reference>
        </references>
      </pivotArea>
    </chartFormat>
    <chartFormat chart="15" format="2" series="1">
      <pivotArea type="data" outline="0" fieldPosition="0">
        <references count="2">
          <reference field="4294967294" count="1" selected="0">
            <x v="0"/>
          </reference>
          <reference field="1" count="1" selected="0">
            <x v="1"/>
          </reference>
        </references>
      </pivotArea>
    </chartFormat>
    <chartFormat chart="15" format="3" series="1">
      <pivotArea type="data" outline="0" fieldPosition="0">
        <references count="2">
          <reference field="4294967294" count="1" selected="0">
            <x v="0"/>
          </reference>
          <reference field="1" count="1" selected="0">
            <x v="2"/>
          </reference>
        </references>
      </pivotArea>
    </chartFormat>
    <chartFormat chart="27" format="16" series="1">
      <pivotArea type="data" outline="0" fieldPosition="0">
        <references count="2">
          <reference field="4294967294" count="1" selected="0">
            <x v="0"/>
          </reference>
          <reference field="1" count="1" selected="0">
            <x v="3"/>
          </reference>
        </references>
      </pivotArea>
    </chartFormat>
    <chartFormat chart="27" format="17" series="1">
      <pivotArea type="data" outline="0" fieldPosition="0">
        <references count="2">
          <reference field="4294967294" count="1" selected="0">
            <x v="0"/>
          </reference>
          <reference field="1" count="1" selected="0">
            <x v="0"/>
          </reference>
        </references>
      </pivotArea>
    </chartFormat>
    <chartFormat chart="27" format="18" series="1">
      <pivotArea type="data" outline="0" fieldPosition="0">
        <references count="2">
          <reference field="4294967294" count="1" selected="0">
            <x v="0"/>
          </reference>
          <reference field="1" count="1" selected="0">
            <x v="1"/>
          </reference>
        </references>
      </pivotArea>
    </chartFormat>
    <chartFormat chart="27" format="19" series="1">
      <pivotArea type="data" outline="0" fieldPosition="0">
        <references count="2">
          <reference field="4294967294" count="1" selected="0">
            <x v="0"/>
          </reference>
          <reference field="1"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icket Count"/>
    <pivotHierarchy dragToData="1"/>
    <pivotHierarchy dragToData="1"/>
    <pivotHierarchy dragToData="1"/>
  </pivotHierarchies>
  <pivotTableStyleInfo name="PivotStyleDark2" showRowHeaders="1" showColHeaders="1" showRowStripes="0" showColStripes="0" showLastColumn="1"/>
  <rowHierarchiesUsage count="1">
    <rowHierarchyUsage hierarchyUsage="15"/>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 Data_ NPS Tracker_2025.xlsx!NPS_Data">
        <x15:activeTabTopLevelEntity name="[NP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8225C3-3746-4AFD-AF4E-04A1F0F3A320}" name="PivotTable1" cacheId="1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Issue ">
  <location ref="A66:E81" firstHeaderRow="0" firstDataRow="1" firstDataCol="1"/>
  <pivotFields count="5">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5">
    <i>
      <x/>
    </i>
    <i>
      <x v="1"/>
    </i>
    <i>
      <x v="2"/>
    </i>
    <i>
      <x v="3"/>
    </i>
    <i>
      <x v="4"/>
    </i>
    <i>
      <x v="5"/>
    </i>
    <i>
      <x v="6"/>
    </i>
    <i>
      <x v="7"/>
    </i>
    <i>
      <x v="8"/>
    </i>
    <i>
      <x v="9"/>
    </i>
    <i>
      <x v="10"/>
    </i>
    <i>
      <x v="11"/>
    </i>
    <i>
      <x v="12"/>
    </i>
    <i>
      <x v="13"/>
    </i>
    <i t="grand">
      <x/>
    </i>
  </rowItems>
  <colFields count="1">
    <field x="-2"/>
  </colFields>
  <colItems count="4">
    <i>
      <x/>
    </i>
    <i i="1">
      <x v="1"/>
    </i>
    <i i="2">
      <x v="2"/>
    </i>
    <i i="3">
      <x v="3"/>
    </i>
  </colItems>
  <dataFields count="4">
    <dataField name="Total Hours" fld="1" baseField="0" baseItem="0"/>
    <dataField name="Resolved Count" fld="2" baseField="0" baseItem="0"/>
    <dataField name="Ticket Count" fld="3" subtotal="count" baseField="0" baseItem="0"/>
    <dataField name="Breach Count" fld="4"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Hours"/>
    <pivotHierarchy dragToData="1" caption="Resolved Count"/>
    <pivotHierarchy dragToData="1" caption="Ticket Count"/>
    <pivotHierarchy dragToData="1" caption="Breach Count"/>
    <pivotHierarchy dragToData="1"/>
    <pivotHierarchy dragToData="1"/>
  </pivotHierarchies>
  <pivotTableStyleInfo name="PivotStyleMedium9"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 Data_ NPS Tracker_2025.xlsx!NPS_Data">
        <x15:activeTabTopLevelEntity name="[NP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3FE6C1-ECF0-41F3-B810-EF5E0C7D4653}" name="PivotTable7" cacheId="1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rowHeaderCaption="Issue Type">
  <location ref="A136:D151" firstHeaderRow="0" firstDataRow="1" firstDataCol="1"/>
  <pivotFields count="4">
    <pivotField axis="axisRow"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15">
    <i>
      <x v="1"/>
    </i>
    <i>
      <x v="12"/>
    </i>
    <i>
      <x v="11"/>
    </i>
    <i>
      <x v="8"/>
    </i>
    <i>
      <x v="3"/>
    </i>
    <i>
      <x v="10"/>
    </i>
    <i>
      <x v="6"/>
    </i>
    <i>
      <x v="2"/>
    </i>
    <i>
      <x/>
    </i>
    <i>
      <x v="7"/>
    </i>
    <i>
      <x v="5"/>
    </i>
    <i>
      <x v="13"/>
    </i>
    <i>
      <x v="4"/>
    </i>
    <i>
      <x v="9"/>
    </i>
    <i t="grand">
      <x/>
    </i>
  </rowItems>
  <colFields count="1">
    <field x="-2"/>
  </colFields>
  <colItems count="3">
    <i>
      <x/>
    </i>
    <i i="1">
      <x v="1"/>
    </i>
    <i i="2">
      <x v="2"/>
    </i>
  </colItems>
  <dataFields count="3">
    <dataField name="Avg Resolution Time (hrs)" fld="1" subtotal="average" baseField="0" baseItem="0"/>
    <dataField name="Max of ResolutionHours2" fld="2" subtotal="max" baseField="0" baseItem="0"/>
    <dataField name="Count of Ticket No" fld="3" subtotal="count" baseField="0" baseItem="0"/>
  </dataFields>
  <conditionalFormats count="3">
    <conditionalFormat priority="5">
      <pivotAreas count="1">
        <pivotArea type="data" collapsedLevelsAreSubtotals="1" fieldPosition="0">
          <references count="2">
            <reference field="4294967294" count="1" selected="0">
              <x v="1"/>
            </reference>
            <reference field="0" count="14">
              <x v="0"/>
              <x v="1"/>
              <x v="2"/>
              <x v="3"/>
              <x v="4"/>
              <x v="5"/>
              <x v="6"/>
              <x v="7"/>
              <x v="8"/>
              <x v="9"/>
              <x v="10"/>
              <x v="11"/>
              <x v="12"/>
              <x v="13"/>
            </reference>
          </references>
        </pivotArea>
      </pivotAreas>
    </conditionalFormat>
    <conditionalFormat priority="6">
      <pivotAreas count="1">
        <pivotArea type="data" collapsedLevelsAreSubtotals="1" fieldPosition="0">
          <references count="2">
            <reference field="4294967294" count="1" selected="0">
              <x v="0"/>
            </reference>
            <reference field="0" count="14">
              <x v="0"/>
              <x v="1"/>
              <x v="2"/>
              <x v="3"/>
              <x v="4"/>
              <x v="5"/>
              <x v="6"/>
              <x v="7"/>
              <x v="8"/>
              <x v="9"/>
              <x v="10"/>
              <x v="11"/>
              <x v="12"/>
              <x v="13"/>
            </reference>
          </references>
        </pivotArea>
      </pivotAreas>
    </conditionalFormat>
    <conditionalFormat priority="7">
      <pivotAreas count="1">
        <pivotArea type="data" collapsedLevelsAreSubtotals="1" fieldPosition="0">
          <references count="2">
            <reference field="4294967294" count="1" selected="0">
              <x v="0"/>
            </reference>
            <reference field="0" count="14">
              <x v="0"/>
              <x v="1"/>
              <x v="2"/>
              <x v="3"/>
              <x v="4"/>
              <x v="5"/>
              <x v="6"/>
              <x v="7"/>
              <x v="8"/>
              <x v="9"/>
              <x v="10"/>
              <x v="11"/>
              <x v="12"/>
              <x v="13"/>
            </reference>
          </references>
        </pivotArea>
      </pivotAreas>
    </conditionalFormat>
  </conditionalFormats>
  <chartFormats count="18">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g Resolution Time (hrs)"/>
    <pivotHierarchy dragToData="1" caption="Max of ResolutionHours2"/>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 Data_ NPS Tracker_2025.xlsx!NPS_Data">
        <x15:activeTabTopLevelEntity name="[NP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569107-2711-4873-9BF2-5A5AA166E56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ssue Type">
  <location ref="A4:C19" firstHeaderRow="0" firstDataRow="1" firstDataCol="1"/>
  <pivotFields count="31">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8"/>
        <item x="2"/>
        <item x="10"/>
        <item x="6"/>
        <item x="11"/>
        <item x="3"/>
        <item x="9"/>
        <item x="5"/>
        <item x="13"/>
        <item x="0"/>
        <item x="4"/>
        <item x="1"/>
        <item x="12"/>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5">
    <i>
      <x v="5"/>
    </i>
    <i>
      <x/>
    </i>
    <i>
      <x v="9"/>
    </i>
    <i>
      <x v="1"/>
    </i>
    <i>
      <x v="11"/>
    </i>
    <i>
      <x v="6"/>
    </i>
    <i>
      <x v="2"/>
    </i>
    <i>
      <x v="10"/>
    </i>
    <i>
      <x v="13"/>
    </i>
    <i>
      <x v="7"/>
    </i>
    <i>
      <x v="3"/>
    </i>
    <i>
      <x v="8"/>
    </i>
    <i>
      <x v="4"/>
    </i>
    <i>
      <x v="12"/>
    </i>
    <i t="grand">
      <x/>
    </i>
  </rowItems>
  <colFields count="1">
    <field x="-2"/>
  </colFields>
  <colItems count="2">
    <i>
      <x/>
    </i>
    <i i="1">
      <x v="1"/>
    </i>
  </colItems>
  <dataFields count="2">
    <dataField name="Ticket Count" fld="0" subtotal="count" baseField="15" baseItem="0"/>
    <dataField name="% of Total" fld="0" subtotal="count" showDataAs="percentOfTotal" baseField="0" baseItem="0" numFmtId="1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4B4F27-A39F-4B5E-9DD0-C2A5F4816F8F}" name="PivotTable5" cacheId="1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8:B156" firstHeaderRow="1" firstDataRow="1" firstDataCol="1"/>
  <pivotFields count="2">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Ticket Count" fld="1"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icket C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 Data_ NPS Tracker_2025.xlsx!NPS_Data">
        <x15:activeTabTopLevelEntity name="[NP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65B965-DE3F-444F-BFF5-7D458380A486}" name="PivotTable4" cacheId="1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108:D120" firstHeaderRow="0" firstDataRow="1" firstDataCol="1"/>
  <pivotFields count="4">
    <pivotField axis="axisRow"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12">
    <i>
      <x v="9"/>
    </i>
    <i>
      <x v="6"/>
    </i>
    <i>
      <x v="4"/>
    </i>
    <i>
      <x v="10"/>
    </i>
    <i>
      <x v="8"/>
    </i>
    <i>
      <x v="5"/>
    </i>
    <i>
      <x v="3"/>
    </i>
    <i>
      <x v="2"/>
    </i>
    <i>
      <x v="1"/>
    </i>
    <i>
      <x v="7"/>
    </i>
    <i>
      <x/>
    </i>
    <i t="grand">
      <x/>
    </i>
  </rowItems>
  <colFields count="1">
    <field x="-2"/>
  </colFields>
  <colItems count="3">
    <i>
      <x/>
    </i>
    <i i="1">
      <x v="1"/>
    </i>
    <i i="2">
      <x v="2"/>
    </i>
  </colItems>
  <dataFields count="3">
    <dataField name="Ticket Count" fld="1" subtotal="count" baseField="0" baseItem="0"/>
    <dataField name="Avg Resolution Time (hrs)" fld="2" subtotal="average" baseField="0" baseItem="0"/>
    <dataField name="Max of ResolutionHours" fld="3" subtotal="max"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12"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1"/>
          </reference>
        </references>
      </pivotArea>
    </chartFormat>
    <chartFormat chart="12" format="14" series="1">
      <pivotArea type="data" outline="0" fieldPosition="0">
        <references count="1">
          <reference field="4294967294"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icket Count"/>
    <pivotHierarchy dragToData="1"/>
    <pivotHierarchy dragToData="1" caption="Avg Resolution Time (hrs)"/>
    <pivotHierarchy dragToData="1" caption="Max of ResolutionHours"/>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 Data_ NPS Tracker_2025.xlsx!NPS_Data">
        <x15:activeTabTopLevelEntity name="[NP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D16252-D2DA-456C-906A-0EF6FFA8240F}" name="PivotTable3" cacheId="1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rowHeaderCaption="Issue">
  <location ref="A62:F78" firstHeaderRow="1" firstDataRow="2"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15">
    <i>
      <x/>
    </i>
    <i>
      <x v="1"/>
    </i>
    <i>
      <x v="2"/>
    </i>
    <i>
      <x v="3"/>
    </i>
    <i>
      <x v="4"/>
    </i>
    <i>
      <x v="5"/>
    </i>
    <i>
      <x v="6"/>
    </i>
    <i>
      <x v="7"/>
    </i>
    <i>
      <x v="8"/>
    </i>
    <i>
      <x v="9"/>
    </i>
    <i>
      <x v="10"/>
    </i>
    <i>
      <x v="11"/>
    </i>
    <i>
      <x v="12"/>
    </i>
    <i>
      <x v="13"/>
    </i>
    <i t="grand">
      <x/>
    </i>
  </rowItems>
  <colFields count="1">
    <field x="1"/>
  </colFields>
  <colItems count="5">
    <i>
      <x/>
    </i>
    <i>
      <x v="1"/>
    </i>
    <i>
      <x v="2"/>
    </i>
    <i>
      <x v="3"/>
    </i>
    <i t="grand">
      <x/>
    </i>
  </colItems>
  <dataFields count="1">
    <dataField name="Ticket Count" fld="2" subtotal="count" baseField="0" baseItem="0"/>
  </dataFields>
  <chartFormats count="4">
    <chartFormat chart="18" format="0" series="1">
      <pivotArea type="data" outline="0" fieldPosition="0">
        <references count="2">
          <reference field="4294967294" count="1" selected="0">
            <x v="0"/>
          </reference>
          <reference field="1" count="1" selected="0">
            <x v="0"/>
          </reference>
        </references>
      </pivotArea>
    </chartFormat>
    <chartFormat chart="18" format="1" series="1">
      <pivotArea type="data" outline="0" fieldPosition="0">
        <references count="2">
          <reference field="4294967294" count="1" selected="0">
            <x v="0"/>
          </reference>
          <reference field="1" count="1" selected="0">
            <x v="1"/>
          </reference>
        </references>
      </pivotArea>
    </chartFormat>
    <chartFormat chart="18" format="2" series="1">
      <pivotArea type="data" outline="0" fieldPosition="0">
        <references count="2">
          <reference field="4294967294" count="1" selected="0">
            <x v="0"/>
          </reference>
          <reference field="1" count="1" selected="0">
            <x v="2"/>
          </reference>
        </references>
      </pivotArea>
    </chartFormat>
    <chartFormat chart="18" format="3" series="1">
      <pivotArea type="data" outline="0" fieldPosition="0">
        <references count="2">
          <reference field="4294967294" count="1" selected="0">
            <x v="0"/>
          </reference>
          <reference field="1" count="1" selected="0">
            <x v="3"/>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icket C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 Data_ NPS Tracker_2025.xlsx!NPS_Data">
        <x15:activeTabTopLevelEntity name="[NP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35AB92-7BBE-49F0-889F-BF079C2BBE81}" name="PivotTable2" cacheId="1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Ticket Count">
  <location ref="A35:B38"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Ticket Count" fld="1"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icket Count"/>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 Data_ NPS Tracker_2025.xlsx!NPS_Data">
        <x15:activeTabTopLevelEntity name="[NP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BF7C05-18E4-4CBA-8FF8-2FC59AB3CCC8}" name="PivotTable1" cacheId="1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rowHeaderCaption="Ticket Count">
  <location ref="A4:B13"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Ticket Count" fld="1" subtotal="count" baseField="0" baseItem="0"/>
  </dataFields>
  <chartFormats count="2">
    <chartFormat chart="9"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icket Count"/>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 Data_ NPS Tracker_2025.xlsx!NPS_Data">
        <x15:activeTabTopLevelEntity name="[NPS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_Name" xr10:uid="{5A3B1071-2EA7-4BB1-A0A2-37BD4444C16F}" sourceName="[NPS_Data].[Program Name]">
  <pivotTables>
    <pivotTable tabId="6" name="PivotTable3"/>
  </pivotTables>
  <data>
    <olap pivotCacheId="1360067153">
      <levels count="2">
        <level uniqueName="[NPS_Data].[Program Name].[(All)]" sourceCaption="(All)" count="0"/>
        <level uniqueName="[NPS_Data].[Program Name].[Program Name]" sourceCaption="Program Name" count="4">
          <ranges>
            <range startItem="0">
              <i n="[NPS_Data].[Program Name].&amp;[Academy]" c="Academy"/>
              <i n="[NPS_Data].[Program Name].&amp;[AIML]" c="AIML"/>
              <i n="[NPS_Data].[Program Name].&amp;[DevOps]" c="DevOps"/>
              <i n="[NPS_Data].[Program Name].&amp;[DSML]" c="DSML"/>
            </range>
          </ranges>
        </level>
      </levels>
      <selections count="3">
        <selection n="[NPS_Data].[Program Name].&amp;[AIML]"/>
        <selection n="[NPS_Data].[Program Name].&amp;[DevOps]"/>
        <selection n="[NPS_Data].[Program Name].&amp;[DSM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gram Name 1" xr10:uid="{800767E7-0F2F-49C4-B1CD-2E93584CAA28}" cache="Slicer_Program_Name" caption="Program Name" level="1"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578CF6-16BD-46B8-9C9A-3122BAB179CA}" name="NPS_Data" displayName="NPS_Data" ref="A1:AF226" totalsRowShown="0" headerRowDxfId="60" dataDxfId="58" headerRowBorderDxfId="59" tableBorderDxfId="57">
  <autoFilter ref="A1:AF226" xr:uid="{9E578CF6-16BD-46B8-9C9A-3122BAB179CA}"/>
  <tableColumns count="32">
    <tableColumn id="1" xr3:uid="{6AC72AF0-69E3-4954-BB62-785E98B48D84}" name="Ticket No" dataDxfId="56"/>
    <tableColumn id="2" xr3:uid="{042F425B-05FC-4400-9E7E-14669C9B64FA}" name="Created Date" dataDxfId="55"/>
    <tableColumn id="3" xr3:uid="{81158E8F-7CF7-4806-BD07-FD7DEF9233DA}" name="Created Time" dataDxfId="54"/>
    <tableColumn id="20" xr3:uid="{DE33313B-CDF6-4B22-A445-949F4D2E71D3}" name="CreatedDateTime" dataDxfId="53">
      <calculatedColumnFormula>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calculatedColumnFormula>
    </tableColumn>
    <tableColumn id="4" xr3:uid="{6A0D64AC-98ED-4DA8-B722-1ACDADD199E0}" name="Assigned To" dataDxfId="52"/>
    <tableColumn id="5" xr3:uid="{B275B551-4918-4487-9B33-82F09C50B555}" name="Resolved Date" dataDxfId="51"/>
    <tableColumn id="6" xr3:uid="{94E86377-BBA2-40E9-BB5D-FDB0187F3E0F}" name="Resolved Time" dataDxfId="50"/>
    <tableColumn id="21" xr3:uid="{2B6446D0-A685-4620-8392-73F74363F3BC}" name="ResolvedDateTime" dataDxfId="49">
      <calculatedColumnFormula>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calculatedColumnFormula>
    </tableColumn>
    <tableColumn id="7" xr3:uid="{0EC840B9-B7D5-43EE-AFC0-393E1A967609}" name="Landing Folder" dataDxfId="48"/>
    <tableColumn id="8" xr3:uid="{05774F16-4361-4308-ACF1-3978588E720C}" name="Disposition Folder Level 1" dataDxfId="47"/>
    <tableColumn id="9" xr3:uid="{6F5417B3-1358-48B1-B2D6-7C5DE6F45FC1}" name="Disposition Folder Level 2" dataDxfId="46"/>
    <tableColumn id="10" xr3:uid="{C837250D-C8B7-46F6-99DD-B0051F76E023}" name="Phone" dataDxfId="45"/>
    <tableColumn id="11" xr3:uid="{68AC8321-8CEC-4EA9-89A0-BADCE5A40967}" name="Email" dataDxfId="44"/>
    <tableColumn id="12" xr3:uid="{2ABB8D5F-E586-4A31-BD2C-D3180D68238B}" name="Ticket All Remarks" dataDxfId="43"/>
    <tableColumn id="13" xr3:uid="{6CC83BB3-C52B-4F9D-BA1A-919D02761C42}" name="Program Name" dataDxfId="42"/>
    <tableColumn id="14" xr3:uid="{9D624A01-E727-4678-9A4F-D590DD0FE697}" name="Issue 2 - NPS" dataDxfId="41"/>
    <tableColumn id="15" xr3:uid="{D7464273-41E4-40FE-8673-BB4FA2040676}" name="NPS Rating" dataDxfId="40"/>
    <tableColumn id="16" xr3:uid="{9D0B6064-2E25-49E3-BD14-994030C7BCF6}" name="Status" dataDxfId="39"/>
    <tableColumn id="17" xr3:uid="{950D63E0-3CCD-4409-9508-FD31204709D2}" name="Sub Status" dataDxfId="38"/>
    <tableColumn id="18" xr3:uid="{3F084CBD-5F0F-4DE6-8B4E-23EBAFF14C6D}" name="MissingFieldsFlag" dataDxfId="37">
      <calculatedColumnFormula>IF(OR(NPS_Data[[#This Row],[CreatedDateTime]]="",NPS_Data[[#This Row],[Assigned To]]="",NPS_Data[[#This Row],[Issue 2 - NPS]]="",NPS_Data[[#This Row],[Program Name]]=""),"Missing","OK")</calculatedColumnFormula>
    </tableColumn>
    <tableColumn id="19" xr3:uid="{54154A38-C575-4B2B-BAD4-4AE687C45F51}" name="StatusLogicFlag" dataDxfId="2">
      <calculatedColumnFormula>IF(
  AND(NPS_Data[[#This Row],[Status]]="Complete", OR(ISNA(NPS_Data[[#This Row],[ResolvedDateTime]]), ISBLANK(NPS_Data[[#This Row],[ResolvedDateTime]]))),
  "CompleteNoResolved",
  IF(
    AND(NPS_Data[[#This Row],[Status]]="Pending", NPS_Data[[#This Row],[Sub Status]]="Solved"),
    "PendingButSolved",
    "OK"
  )
)</calculatedColumnFormula>
    </tableColumn>
    <tableColumn id="22" xr3:uid="{821D4D44-CB6A-45F5-9CA0-88A7C6A168B7}" name="ResolutionErrorFlag" dataDxfId="36">
      <calculatedColumnFormula>IF(
  AND(
    NOT( OR(
      ISNA(NPS_Data[[#This Row],[ResolvedDateTime]]),
      ISNA(NPS_Data[[#This Row],[CreatedDateTime]]),
      ISBLANK(NPS_Data[[#This Row],[ResolvedDateTime]]),
      ISBLANK(NPS_Data[[#This Row],[CreatedDateTime]])
    )),
    IFERROR(NPS_Data[[#This Row],[ResolvedDateTime]],"") &lt; IFERROR(NPS_Data[[#This Row],[CreatedDateTime]],"")
  ),
  "ResolvedBeforeCreated",
  "OK"
)</calculatedColumnFormula>
    </tableColumn>
    <tableColumn id="25" xr3:uid="{82480CB3-6869-4658-A88B-D47DA34D4433}" name="CleanRemark" dataDxfId="35">
      <calculatedColumnFormula>IFERROR(TRIM(CLEAN(NPS_Data[[#This Row],[Ticket All Remarks]])),"")</calculatedColumnFormula>
    </tableColumn>
    <tableColumn id="26" xr3:uid="{5E892E4E-162C-4685-8476-F7807F8CB54F}" name="RemarkHash" dataDxfId="34">
      <calculatedColumnFormula array="1">IF(NPS_Data[[#This Row],[CleanRemark]]="","",
   SUMPRODUCT(CODE(MID(NPS_Data[[#This Row],[CleanRemark]],ROW(INDIRECT("1:"&amp;LEN(NPS_Data[[#This Row],[CleanRemark]]))),1))))</calculatedColumnFormula>
    </tableColumn>
    <tableColumn id="23" xr3:uid="{B367E36D-2956-4FA7-A60F-6C2AB9C500C2}" name="DuplicateTicketFlag" dataDxfId="33">
      <calculatedColumnFormula>IF(COUNTIF(NPS_Data[Ticket No],NPS_Data[[#This Row],[Ticket No]])&gt;1,"Duplicate","OK")</calculatedColumnFormula>
    </tableColumn>
    <tableColumn id="24" xr3:uid="{594ADE59-F1C4-4FBF-843D-332979D7D5F2}" name="DuplicateRemarksFlag" dataDxfId="32">
      <calculatedColumnFormula>IF(NPS_Data[[#This Row],[RemarkHash]]="","OK",
   IF(COUNTIF(NPS_Data[RemarkHash],NPS_Data[[#This Row],[RemarkHash]])&gt;1,"RepeatedRemark","OK"))</calculatedColumnFormula>
    </tableColumn>
    <tableColumn id="27" xr3:uid="{A7AE5263-E76D-4ADB-B66C-6C0AB7C08F9E}" name="ResolutionHours" dataDxfId="31">
      <calculatedColumnFormula>IF( AND( ISNUMBER(NPS_Data[[#This Row],[CreatedDateTime]]), ISNUMBER(NPS_Data[[#This Row],[ResolvedDateTime]]) ), (NPS_Data[[#This Row],[ResolvedDateTime]] - NPS_Data[[#This Row],[CreatedDateTime]]) * 24, 0 )</calculatedColumnFormula>
    </tableColumn>
    <tableColumn id="28" xr3:uid="{CF6191EC-2176-4080-87DF-E65D73325F08}" name="Week" dataDxfId="24">
      <calculatedColumnFormula>IF(NOT(ISNA(NPS_Data[[#This Row],[CreatedDateTime]])),
   YEAR(NPS_Data[[#This Row],[CreatedDateTime]]) &amp; "-" &amp; TEXT(WEEKNUM(NPS_Data[[#This Row],[CreatedDateTime]],2),"00"),
   "")</calculatedColumnFormula>
    </tableColumn>
    <tableColumn id="29" xr3:uid="{17AD8F8F-19BF-46FB-8425-7CDD88B91355}" name="Month" dataDxfId="30">
      <calculatedColumnFormula>IF(NOT(ISNA(NPS_Data[[#This Row],[CreatedDateTime]])), TEXT(NPS_Data[[#This Row],[CreatedDateTime]],"YYYY-MM"), "")</calculatedColumnFormula>
    </tableColumn>
    <tableColumn id="30" xr3:uid="{1705AA03-6B1F-4779-B526-AF26FE2FBCEC}" name="SLA_Breach" dataDxfId="29">
      <calculatedColumnFormula>IF(NOT(ISNUMBER(NPS_Data[[#This Row],[ResolutionHours]])),"Open", IF(NPS_Data[[#This Row],[ResolutionHours]]&gt;72,"Breach","OK"))</calculatedColumnFormula>
    </tableColumn>
    <tableColumn id="31" xr3:uid="{88847A25-F7A5-49EE-BCC2-1C949AE8A2F7}" name="ResolvedFlag" dataDxfId="28">
      <calculatedColumnFormula>IF(AND(ISNUMBER(NPS_Data[[#This Row],[CreatedDateTime]]), ISNUMBER(NPS_Data[[#This Row],[ResolvedDateTime]])), 1, 0)</calculatedColumnFormula>
    </tableColumn>
    <tableColumn id="32" xr3:uid="{DA392F77-F68F-4559-A3C7-22DB8B1EE606}" name="Weekday" dataDxfId="27">
      <calculatedColumnFormula>IF(NOT(ISNA(NPS_Data[[#This Row],[CreatedDateTime]])), TEXT(NPS_Data[[#This Row],[CreatedDateTime]],"dddd"),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4AB23B-39AB-4FA6-839D-C2ABB6695AB2}" name="Table3" displayName="Table3" ref="A1:C6" totalsRowShown="0">
  <autoFilter ref="A1:C6" xr:uid="{A14AB23B-39AB-4FA6-839D-C2ABB6695AB2}"/>
  <tableColumns count="3">
    <tableColumn id="1" xr3:uid="{773EBA96-CCE3-48FA-B0CF-E7FD756F184F}" name="Issue Type"/>
    <tableColumn id="2" xr3:uid="{3B745403-127A-434B-86A2-16ECEE0CB38D}" name="Count"/>
    <tableColumn id="3" xr3:uid="{105114FE-09B9-4049-8C65-88775EC7E564}" name="Sample Ticket Nos"/>
  </tableColumns>
  <tableStyleInfo name="TableStyleMedium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941367-D1B9-4659-B085-B72C7B466A86}" name="Table2" displayName="Table2" ref="A12:B18" totalsRowShown="0">
  <autoFilter ref="A12:B18" xr:uid="{8D941367-D1B9-4659-B085-B72C7B466A86}"/>
  <tableColumns count="2">
    <tableColumn id="1" xr3:uid="{5C81B4A0-70A0-4189-B99A-000AFF59FF84}" name="Procedure"/>
    <tableColumn id="2" xr3:uid="{CDDD9A2B-3ACF-4D77-A440-50762DB66393}" name="Recommendatio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B690E2-9200-4BAB-B406-C8D8D568E672}" name="Table4" displayName="Table4" ref="A1:B9" totalsRowShown="0">
  <autoFilter ref="A1:B9" xr:uid="{89B690E2-9200-4BAB-B406-C8D8D568E672}"/>
  <tableColumns count="2">
    <tableColumn id="1" xr3:uid="{FB5E7308-1EB3-45D9-8EE8-037B529EC1D5}" name="Field"/>
    <tableColumn id="2" xr3:uid="{46878A7D-A5C8-49CA-BEAE-E2F460D87112}" name="Validation Rule"/>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60D3F0E-FFD9-4BC9-827A-1B3F5E2FEA63}" name="Table5" displayName="Table5" ref="F66:F81" headerRowDxfId="67">
  <autoFilter ref="F66:F81" xr:uid="{960D3F0E-FFD9-4BC9-827A-1B3F5E2FEA63}"/>
  <tableColumns count="1">
    <tableColumn id="1" xr3:uid="{1906CA84-D0D0-4898-A113-CB216B39314F}" name="Avg Resolution Time (hrs)" totalsRowFunction="sum" dataDxfId="66" totalsRowDxfId="65">
      <calculatedColumnFormula>B67/C67</calculatedColumnFormula>
    </tableColumn>
  </tableColumns>
  <tableStyleInfo name="TableStyleLight9"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E99C853-6BBB-4298-A5D6-83E2309BA2AE}" name="Table7" displayName="Table7" ref="A27:C33" totalsRowShown="0" headerRowDxfId="64" headerRowBorderDxfId="63">
  <autoFilter ref="A27:C33" xr:uid="{0E99C853-6BBB-4298-A5D6-83E2309BA2AE}"/>
  <tableColumns count="3">
    <tableColumn id="1" xr3:uid="{7794ACFA-2D4D-43AF-B590-80F352E5E38A}" name="Issue Type" dataDxfId="62"/>
    <tableColumn id="2" xr3:uid="{D05E599C-EE50-4005-B608-69F2CC60E690}" name="Ticket Count"/>
    <tableColumn id="3" xr3:uid="{B9AC6ECC-6389-415E-89AD-B449978B3CD4}" name="% of Total" dataDxfId="61"/>
  </tableColumns>
  <tableStyleInfo name="TableStyleMedium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0FB12E1-A268-427E-BE1E-89544AD938CA}" name="Table9" displayName="Table9" ref="A3:G6" totalsRowShown="0" headerRowDxfId="25">
  <autoFilter ref="A3:G6" xr:uid="{20FB12E1-A268-427E-BE1E-89544AD938CA}"/>
  <tableColumns count="7">
    <tableColumn id="1" xr3:uid="{14C76134-B0CA-4035-B3F4-2AC3ED2CEA0D}" name="Issue" dataDxfId="26"/>
    <tableColumn id="2" xr3:uid="{8780D753-08F6-420C-9C5D-7E958BC3BE8B}" name="Evidence (Counts/Avg Hrs)"/>
    <tableColumn id="3" xr3:uid="{7D275AF8-9F44-4A4A-B704-127468269831}" name="Systemic vs Isolated"/>
    <tableColumn id="4" xr3:uid="{DC7F2B28-1B6F-4767-8CEA-15BEC5C21515}" name="Likely Root Causes"/>
    <tableColumn id="5" xr3:uid="{1A03B6B6-405E-49A1-AD82-2963BB377365}" name="Processes Impacted"/>
    <tableColumn id="6" xr3:uid="{DC1A4217-2D4F-4911-83BB-7B96CAEC9C56}" name="Preventive Measures"/>
    <tableColumn id="7" xr3:uid="{515A46BE-9B52-40B2-89CC-36BD9E2A6FAA}" name="Quick Win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3BD34B1-1B53-4F1E-A831-CAC4973A4B41}" name="Table17" displayName="Table17" ref="A12:E19" totalsRowShown="0" headerRowDxfId="3" dataDxfId="4">
  <autoFilter ref="A12:E19" xr:uid="{A3BD34B1-1B53-4F1E-A831-CAC4973A4B41}"/>
  <tableColumns count="5">
    <tableColumn id="1" xr3:uid="{2E6B31B5-4198-4008-9E91-9BB59B83F90A}" name="Area" dataDxfId="9"/>
    <tableColumn id="2" xr3:uid="{04DD8055-8530-4485-ADC3-B93359FF214C}" name="Recommendation" dataDxfId="8"/>
    <tableColumn id="3" xr3:uid="{212051C0-C4DB-432D-B7BA-A0F501448ACB}" name="Owner" dataDxfId="7"/>
    <tableColumn id="4" xr3:uid="{AE10DB11-7109-4645-B2D7-2A85D8C0AA2D}" name="Frequency" dataDxfId="6"/>
    <tableColumn id="5" xr3:uid="{302E1639-A082-40A3-9571-546D8C91B89B}" name="Feedback Loop" dataDxfId="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0DA1794-1E11-45C5-982A-F3C141C39B29}" name="Table14" displayName="Table14" ref="A3:F11" totalsRowShown="0" headerRowDxfId="21" dataDxfId="22">
  <autoFilter ref="A3:F11" xr:uid="{D0DA1794-1E11-45C5-982A-F3C141C39B29}"/>
  <tableColumns count="6">
    <tableColumn id="1" xr3:uid="{35373F2E-2C4F-4AC1-96EB-12519F378563}" name="KPI Name" dataDxfId="12"/>
    <tableColumn id="2" xr3:uid="{9501C62E-1722-455F-9C0E-606CBAB554D2}" name="Definition / Formula (concept)" dataDxfId="13"/>
    <tableColumn id="3" xr3:uid="{C89B610E-8163-4EC4-BDA4-32580A778AE5}" name="Source Column(s)" dataDxfId="20"/>
    <tableColumn id="4" xr3:uid="{26452D5D-D4DA-48CC-9E92-885C209B3016}" name="Frequency" dataDxfId="18"/>
    <tableColumn id="5" xr3:uid="{9D4EE81F-5457-4E76-9C21-616B59C81145}" name="Owner" dataDxfId="19"/>
    <tableColumn id="6" xr3:uid="{D3B7C3CC-56CD-47F0-A088-BC63C9EA51E6}" name="Threshold / Escalation" dataDxfId="2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2C36CD2-546A-46B8-878A-2891C00DC71E}" name="Table15" displayName="Table15" ref="A15:D18" totalsRowShown="0" headerRowDxfId="14" dataDxfId="15">
  <autoFilter ref="A15:D18" xr:uid="{C2C36CD2-546A-46B8-878A-2891C00DC71E}"/>
  <tableColumns count="4">
    <tableColumn id="1" xr3:uid="{4F842AA9-C112-4DA3-8B2F-820B9D5977B1}" name="Frequency" dataDxfId="10"/>
    <tableColumn id="2" xr3:uid="{8569132F-79C6-43C5-8C6B-7B0AEDAF1D76}" name="Stakeholders" dataDxfId="11"/>
    <tableColumn id="3" xr3:uid="{2ED9C5DB-9A9C-4873-B267-0F25BA0AA6D9}" name="Scope / Focus" dataDxfId="17"/>
    <tableColumn id="4" xr3:uid="{35D092A4-A8E0-48DE-9C40-0EA3E9E3E496}" name="Escalation Criteria" dataDxfId="16"/>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pivotTable" Target="../pivotTables/pivotTable3.xml"/><Relationship Id="rId7" Type="http://schemas.openxmlformats.org/officeDocument/2006/relationships/table" Target="../tables/table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3.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
  <sheetViews>
    <sheetView tabSelected="1" workbookViewId="0">
      <pane ySplit="1" topLeftCell="A2" activePane="bottomLeft" state="frozen"/>
      <selection pane="bottomLeft" activeCell="H219" sqref="H219"/>
    </sheetView>
  </sheetViews>
  <sheetFormatPr defaultColWidth="12.6640625" defaultRowHeight="15.75" customHeight="1" x14ac:dyDescent="0.25"/>
  <cols>
    <col min="1" max="4" width="13.44140625" customWidth="1"/>
    <col min="5" max="5" width="18.88671875" customWidth="1"/>
    <col min="6" max="6" width="21.6640625" customWidth="1"/>
    <col min="7" max="17" width="13.44140625" customWidth="1"/>
    <col min="18" max="26" width="7.6640625"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t="s">
        <v>17</v>
      </c>
      <c r="B2" s="2" t="s">
        <v>18</v>
      </c>
      <c r="C2" s="2" t="s">
        <v>19</v>
      </c>
      <c r="D2" s="2" t="s">
        <v>20</v>
      </c>
      <c r="E2" s="2" t="s">
        <v>21</v>
      </c>
      <c r="F2" s="2" t="s">
        <v>22</v>
      </c>
      <c r="G2" s="2" t="s">
        <v>23</v>
      </c>
      <c r="H2" s="2" t="s">
        <v>23</v>
      </c>
      <c r="I2" s="2" t="s">
        <v>24</v>
      </c>
      <c r="J2" s="2" t="s">
        <v>25</v>
      </c>
      <c r="K2" s="2" t="s">
        <v>26</v>
      </c>
      <c r="L2" s="2" t="s">
        <v>27</v>
      </c>
      <c r="M2" s="2" t="s">
        <v>28</v>
      </c>
      <c r="N2" s="2" t="s">
        <v>29</v>
      </c>
      <c r="O2" s="3">
        <v>6</v>
      </c>
      <c r="P2" s="2" t="s">
        <v>30</v>
      </c>
      <c r="Q2" s="2" t="s">
        <v>31</v>
      </c>
    </row>
    <row r="3" spans="1:17" x14ac:dyDescent="0.25">
      <c r="A3" s="2" t="s">
        <v>32</v>
      </c>
      <c r="B3" s="2" t="s">
        <v>33</v>
      </c>
      <c r="C3" s="2" t="s">
        <v>34</v>
      </c>
      <c r="D3" s="2" t="s">
        <v>35</v>
      </c>
      <c r="E3" s="2" t="s">
        <v>36</v>
      </c>
      <c r="F3" s="2" t="s">
        <v>37</v>
      </c>
      <c r="G3" s="2" t="s">
        <v>23</v>
      </c>
      <c r="H3" s="2" t="s">
        <v>23</v>
      </c>
      <c r="I3" s="2" t="s">
        <v>38</v>
      </c>
      <c r="J3" s="2" t="s">
        <v>39</v>
      </c>
      <c r="K3" s="2" t="s">
        <v>40</v>
      </c>
      <c r="L3" s="2" t="s">
        <v>27</v>
      </c>
      <c r="M3" s="2" t="s">
        <v>41</v>
      </c>
      <c r="N3" s="2" t="s">
        <v>29</v>
      </c>
      <c r="O3" s="3">
        <v>3</v>
      </c>
      <c r="P3" s="2" t="s">
        <v>30</v>
      </c>
      <c r="Q3" s="2" t="s">
        <v>31</v>
      </c>
    </row>
    <row r="4" spans="1:17" x14ac:dyDescent="0.25">
      <c r="A4" s="2" t="s">
        <v>42</v>
      </c>
      <c r="B4" s="2" t="s">
        <v>36</v>
      </c>
      <c r="C4" s="2" t="s">
        <v>43</v>
      </c>
      <c r="D4" s="2" t="s">
        <v>44</v>
      </c>
      <c r="G4" s="2" t="s">
        <v>23</v>
      </c>
      <c r="H4" s="2" t="s">
        <v>23</v>
      </c>
      <c r="I4" s="2" t="s">
        <v>24</v>
      </c>
      <c r="J4" s="2" t="s">
        <v>45</v>
      </c>
      <c r="K4" s="2" t="s">
        <v>46</v>
      </c>
      <c r="L4" s="2" t="s">
        <v>47</v>
      </c>
      <c r="M4" s="2" t="s">
        <v>48</v>
      </c>
      <c r="N4" s="2" t="s">
        <v>29</v>
      </c>
      <c r="O4" s="3">
        <v>6</v>
      </c>
      <c r="P4" s="2" t="s">
        <v>49</v>
      </c>
      <c r="Q4" s="2" t="s">
        <v>50</v>
      </c>
    </row>
    <row r="5" spans="1:17" x14ac:dyDescent="0.25">
      <c r="A5" s="2" t="s">
        <v>51</v>
      </c>
      <c r="B5" s="2" t="s">
        <v>52</v>
      </c>
      <c r="C5" s="2" t="s">
        <v>53</v>
      </c>
      <c r="D5" s="2" t="s">
        <v>35</v>
      </c>
      <c r="E5" s="2" t="s">
        <v>54</v>
      </c>
      <c r="F5" s="2" t="s">
        <v>55</v>
      </c>
      <c r="G5" s="2" t="s">
        <v>23</v>
      </c>
      <c r="H5" s="2" t="s">
        <v>23</v>
      </c>
      <c r="I5" s="2" t="s">
        <v>56</v>
      </c>
      <c r="J5" s="2" t="s">
        <v>57</v>
      </c>
      <c r="K5" s="2" t="s">
        <v>58</v>
      </c>
      <c r="L5" s="2" t="s">
        <v>59</v>
      </c>
      <c r="M5" s="2" t="s">
        <v>41</v>
      </c>
      <c r="N5" s="2" t="s">
        <v>60</v>
      </c>
      <c r="O5" s="3">
        <v>1</v>
      </c>
      <c r="P5" s="2" t="s">
        <v>30</v>
      </c>
      <c r="Q5" s="2" t="s">
        <v>31</v>
      </c>
    </row>
    <row r="6" spans="1:17" x14ac:dyDescent="0.25">
      <c r="A6" s="2" t="s">
        <v>61</v>
      </c>
      <c r="B6" s="2" t="s">
        <v>52</v>
      </c>
      <c r="C6" s="2" t="s">
        <v>62</v>
      </c>
      <c r="D6" s="2" t="s">
        <v>35</v>
      </c>
      <c r="E6" s="2" t="s">
        <v>63</v>
      </c>
      <c r="F6" s="2" t="s">
        <v>64</v>
      </c>
      <c r="G6" s="2" t="s">
        <v>23</v>
      </c>
      <c r="H6" s="2" t="s">
        <v>23</v>
      </c>
      <c r="I6" s="2" t="s">
        <v>24</v>
      </c>
      <c r="J6" s="2" t="s">
        <v>65</v>
      </c>
      <c r="K6" s="2" t="s">
        <v>66</v>
      </c>
      <c r="L6" s="2" t="s">
        <v>67</v>
      </c>
      <c r="M6" s="2" t="s">
        <v>48</v>
      </c>
      <c r="N6" s="2" t="s">
        <v>68</v>
      </c>
      <c r="O6" s="3">
        <v>8</v>
      </c>
      <c r="P6" s="2" t="s">
        <v>30</v>
      </c>
      <c r="Q6" s="2" t="s">
        <v>31</v>
      </c>
    </row>
    <row r="7" spans="1:17" x14ac:dyDescent="0.25">
      <c r="A7" s="2" t="s">
        <v>69</v>
      </c>
      <c r="B7" s="2" t="s">
        <v>21</v>
      </c>
      <c r="C7" s="2" t="s">
        <v>70</v>
      </c>
      <c r="D7" s="2" t="s">
        <v>71</v>
      </c>
      <c r="E7" s="2" t="s">
        <v>72</v>
      </c>
      <c r="F7" s="2" t="s">
        <v>73</v>
      </c>
      <c r="G7" s="2" t="s">
        <v>23</v>
      </c>
      <c r="H7" s="2" t="s">
        <v>23</v>
      </c>
      <c r="I7" s="2" t="s">
        <v>56</v>
      </c>
      <c r="J7" s="2" t="s">
        <v>74</v>
      </c>
      <c r="K7" s="2" t="s">
        <v>75</v>
      </c>
      <c r="L7" s="2" t="s">
        <v>76</v>
      </c>
      <c r="M7" s="2" t="s">
        <v>41</v>
      </c>
      <c r="N7" s="2" t="s">
        <v>60</v>
      </c>
      <c r="O7" s="3">
        <v>2</v>
      </c>
      <c r="P7" s="2" t="s">
        <v>30</v>
      </c>
      <c r="Q7" s="2" t="s">
        <v>31</v>
      </c>
    </row>
    <row r="8" spans="1:17" x14ac:dyDescent="0.25">
      <c r="A8" s="2" t="s">
        <v>77</v>
      </c>
      <c r="B8" s="2" t="s">
        <v>78</v>
      </c>
      <c r="C8" s="2" t="s">
        <v>79</v>
      </c>
      <c r="D8" s="2" t="s">
        <v>80</v>
      </c>
      <c r="E8" s="2" t="s">
        <v>36</v>
      </c>
      <c r="F8" s="2" t="s">
        <v>81</v>
      </c>
      <c r="G8" s="2" t="s">
        <v>23</v>
      </c>
      <c r="H8" s="2" t="s">
        <v>23</v>
      </c>
      <c r="I8" s="2" t="s">
        <v>56</v>
      </c>
      <c r="J8" s="2" t="s">
        <v>82</v>
      </c>
      <c r="K8" s="2" t="s">
        <v>83</v>
      </c>
      <c r="L8" s="2" t="s">
        <v>67</v>
      </c>
      <c r="M8" s="2" t="s">
        <v>28</v>
      </c>
      <c r="N8" s="2" t="s">
        <v>68</v>
      </c>
      <c r="O8" s="3">
        <v>9</v>
      </c>
      <c r="P8" s="2" t="s">
        <v>30</v>
      </c>
      <c r="Q8" s="2" t="s">
        <v>31</v>
      </c>
    </row>
    <row r="9" spans="1:17" x14ac:dyDescent="0.25">
      <c r="A9" s="2" t="s">
        <v>84</v>
      </c>
      <c r="B9" s="2" t="s">
        <v>85</v>
      </c>
      <c r="C9" s="2" t="s">
        <v>86</v>
      </c>
      <c r="D9" s="2" t="s">
        <v>87</v>
      </c>
      <c r="G9" s="2" t="s">
        <v>23</v>
      </c>
      <c r="H9" s="2" t="s">
        <v>23</v>
      </c>
      <c r="I9" s="2" t="s">
        <v>88</v>
      </c>
      <c r="J9" s="2" t="s">
        <v>89</v>
      </c>
      <c r="K9" s="2" t="s">
        <v>90</v>
      </c>
      <c r="L9" s="2" t="s">
        <v>91</v>
      </c>
      <c r="M9" s="2" t="s">
        <v>41</v>
      </c>
      <c r="N9" s="2" t="s">
        <v>92</v>
      </c>
      <c r="O9" s="3">
        <v>3</v>
      </c>
      <c r="P9" s="2" t="s">
        <v>49</v>
      </c>
      <c r="Q9" s="2" t="s">
        <v>50</v>
      </c>
    </row>
    <row r="10" spans="1:17" x14ac:dyDescent="0.25">
      <c r="A10" s="2" t="s">
        <v>93</v>
      </c>
      <c r="B10" s="2" t="s">
        <v>94</v>
      </c>
      <c r="C10" s="2" t="s">
        <v>95</v>
      </c>
      <c r="D10" s="2" t="s">
        <v>80</v>
      </c>
      <c r="E10" s="2" t="s">
        <v>96</v>
      </c>
      <c r="F10" s="2" t="s">
        <v>97</v>
      </c>
      <c r="G10" s="2" t="s">
        <v>23</v>
      </c>
      <c r="H10" s="2" t="s">
        <v>23</v>
      </c>
      <c r="I10" s="2" t="s">
        <v>88</v>
      </c>
      <c r="J10" s="2" t="s">
        <v>98</v>
      </c>
      <c r="K10" s="2" t="s">
        <v>99</v>
      </c>
      <c r="L10" s="2" t="s">
        <v>100</v>
      </c>
      <c r="M10" s="2" t="s">
        <v>48</v>
      </c>
      <c r="N10" s="2" t="s">
        <v>68</v>
      </c>
      <c r="O10" s="3">
        <v>4</v>
      </c>
      <c r="P10" s="2" t="s">
        <v>30</v>
      </c>
      <c r="Q10" s="2" t="s">
        <v>31</v>
      </c>
    </row>
    <row r="11" spans="1:17" x14ac:dyDescent="0.25">
      <c r="A11" s="2" t="s">
        <v>101</v>
      </c>
      <c r="B11" s="2" t="s">
        <v>102</v>
      </c>
      <c r="C11" s="2" t="s">
        <v>103</v>
      </c>
      <c r="D11" s="2" t="s">
        <v>104</v>
      </c>
      <c r="E11" s="2" t="s">
        <v>105</v>
      </c>
      <c r="F11" s="2" t="s">
        <v>106</v>
      </c>
      <c r="G11" s="2" t="s">
        <v>23</v>
      </c>
      <c r="H11" s="2" t="s">
        <v>23</v>
      </c>
      <c r="I11" s="2" t="s">
        <v>56</v>
      </c>
      <c r="J11" s="2" t="s">
        <v>107</v>
      </c>
      <c r="K11" s="2" t="s">
        <v>108</v>
      </c>
      <c r="L11" s="2" t="s">
        <v>109</v>
      </c>
      <c r="M11" s="2" t="s">
        <v>41</v>
      </c>
      <c r="N11" s="2" t="s">
        <v>60</v>
      </c>
      <c r="O11" s="3">
        <v>6</v>
      </c>
      <c r="P11" s="2" t="s">
        <v>30</v>
      </c>
      <c r="Q11" s="2" t="s">
        <v>31</v>
      </c>
    </row>
    <row r="12" spans="1:17" x14ac:dyDescent="0.25">
      <c r="A12" s="2" t="s">
        <v>110</v>
      </c>
      <c r="B12" s="2" t="s">
        <v>111</v>
      </c>
      <c r="C12" s="2" t="s">
        <v>112</v>
      </c>
      <c r="D12" s="2" t="s">
        <v>113</v>
      </c>
      <c r="G12" s="2" t="s">
        <v>23</v>
      </c>
      <c r="H12" s="2" t="s">
        <v>23</v>
      </c>
      <c r="I12" s="2" t="s">
        <v>56</v>
      </c>
      <c r="J12" s="2" t="s">
        <v>114</v>
      </c>
      <c r="K12" s="2" t="s">
        <v>115</v>
      </c>
      <c r="L12" s="2" t="s">
        <v>100</v>
      </c>
      <c r="M12" s="2" t="s">
        <v>41</v>
      </c>
      <c r="N12" s="2" t="s">
        <v>68</v>
      </c>
      <c r="O12" s="3">
        <v>8</v>
      </c>
      <c r="P12" s="2" t="s">
        <v>49</v>
      </c>
      <c r="Q12" s="2" t="s">
        <v>116</v>
      </c>
    </row>
    <row r="13" spans="1:17" x14ac:dyDescent="0.25">
      <c r="A13" s="2" t="s">
        <v>117</v>
      </c>
      <c r="B13" s="2" t="s">
        <v>118</v>
      </c>
      <c r="C13" s="2" t="s">
        <v>119</v>
      </c>
      <c r="D13" s="2" t="s">
        <v>104</v>
      </c>
      <c r="E13" s="2" t="s">
        <v>120</v>
      </c>
      <c r="F13" s="2" t="s">
        <v>121</v>
      </c>
      <c r="G13" s="2" t="s">
        <v>23</v>
      </c>
      <c r="H13" s="2" t="s">
        <v>23</v>
      </c>
      <c r="I13" s="2" t="s">
        <v>24</v>
      </c>
      <c r="J13" s="2" t="s">
        <v>122</v>
      </c>
      <c r="K13" s="2" t="s">
        <v>123</v>
      </c>
      <c r="L13" s="2" t="s">
        <v>124</v>
      </c>
      <c r="M13" s="2" t="s">
        <v>41</v>
      </c>
      <c r="N13" s="2" t="s">
        <v>125</v>
      </c>
      <c r="O13" s="3">
        <v>1</v>
      </c>
      <c r="P13" s="2" t="s">
        <v>30</v>
      </c>
      <c r="Q13" s="2" t="s">
        <v>31</v>
      </c>
    </row>
    <row r="14" spans="1:17" x14ac:dyDescent="0.25">
      <c r="A14" s="2" t="s">
        <v>126</v>
      </c>
      <c r="B14" s="2" t="s">
        <v>127</v>
      </c>
      <c r="C14" s="2" t="s">
        <v>128</v>
      </c>
      <c r="D14" s="2" t="s">
        <v>87</v>
      </c>
      <c r="G14" s="2" t="s">
        <v>23</v>
      </c>
      <c r="H14" s="2" t="s">
        <v>23</v>
      </c>
      <c r="I14" s="2" t="s">
        <v>88</v>
      </c>
      <c r="J14" s="2" t="s">
        <v>129</v>
      </c>
      <c r="K14" s="2" t="s">
        <v>130</v>
      </c>
      <c r="L14" s="2" t="s">
        <v>131</v>
      </c>
      <c r="M14" s="2" t="s">
        <v>28</v>
      </c>
      <c r="N14" s="2" t="s">
        <v>132</v>
      </c>
      <c r="O14" s="3">
        <v>7</v>
      </c>
      <c r="P14" s="2" t="s">
        <v>49</v>
      </c>
      <c r="Q14" s="2" t="s">
        <v>133</v>
      </c>
    </row>
    <row r="15" spans="1:17" x14ac:dyDescent="0.25">
      <c r="A15" s="2" t="s">
        <v>134</v>
      </c>
      <c r="B15" s="2" t="s">
        <v>135</v>
      </c>
      <c r="C15" s="2" t="s">
        <v>136</v>
      </c>
      <c r="G15" s="2" t="s">
        <v>23</v>
      </c>
      <c r="H15" s="2" t="s">
        <v>23</v>
      </c>
      <c r="I15" s="2" t="s">
        <v>88</v>
      </c>
      <c r="J15" s="2" t="s">
        <v>137</v>
      </c>
      <c r="K15" s="2" t="s">
        <v>138</v>
      </c>
      <c r="L15" s="2" t="s">
        <v>139</v>
      </c>
      <c r="M15" s="2" t="s">
        <v>28</v>
      </c>
      <c r="N15" s="2" t="s">
        <v>92</v>
      </c>
      <c r="O15" s="3">
        <v>7</v>
      </c>
      <c r="P15" s="2" t="s">
        <v>49</v>
      </c>
      <c r="Q15" s="2" t="s">
        <v>116</v>
      </c>
    </row>
    <row r="16" spans="1:17" x14ac:dyDescent="0.25">
      <c r="A16" s="2" t="s">
        <v>140</v>
      </c>
      <c r="B16" s="2" t="s">
        <v>141</v>
      </c>
      <c r="C16" s="2" t="s">
        <v>142</v>
      </c>
      <c r="D16" s="2" t="s">
        <v>113</v>
      </c>
      <c r="E16" s="2" t="s">
        <v>143</v>
      </c>
      <c r="F16" s="2" t="s">
        <v>144</v>
      </c>
      <c r="G16" s="2" t="s">
        <v>23</v>
      </c>
      <c r="H16" s="2" t="s">
        <v>23</v>
      </c>
      <c r="I16" s="2" t="s">
        <v>38</v>
      </c>
      <c r="J16" s="2" t="s">
        <v>145</v>
      </c>
      <c r="K16" s="2" t="s">
        <v>146</v>
      </c>
      <c r="L16" s="2" t="s">
        <v>147</v>
      </c>
      <c r="M16" s="2" t="s">
        <v>41</v>
      </c>
      <c r="N16" s="2" t="s">
        <v>148</v>
      </c>
      <c r="O16" s="3">
        <v>1</v>
      </c>
      <c r="P16" s="2" t="s">
        <v>30</v>
      </c>
      <c r="Q16" s="2" t="s">
        <v>31</v>
      </c>
    </row>
    <row r="17" spans="1:17" x14ac:dyDescent="0.25">
      <c r="A17" s="2" t="s">
        <v>149</v>
      </c>
      <c r="B17" s="2" t="s">
        <v>118</v>
      </c>
      <c r="C17" s="2" t="s">
        <v>150</v>
      </c>
      <c r="D17" s="2" t="s">
        <v>35</v>
      </c>
      <c r="G17" s="2" t="s">
        <v>23</v>
      </c>
      <c r="H17" s="2" t="s">
        <v>23</v>
      </c>
      <c r="I17" s="2" t="s">
        <v>56</v>
      </c>
      <c r="J17" s="2" t="s">
        <v>151</v>
      </c>
      <c r="K17" s="2" t="s">
        <v>152</v>
      </c>
      <c r="L17" s="2" t="s">
        <v>100</v>
      </c>
      <c r="M17" s="2" t="s">
        <v>41</v>
      </c>
      <c r="N17" s="2" t="s">
        <v>68</v>
      </c>
      <c r="O17" s="3">
        <v>8</v>
      </c>
      <c r="P17" s="2" t="s">
        <v>49</v>
      </c>
      <c r="Q17" s="2" t="s">
        <v>50</v>
      </c>
    </row>
    <row r="18" spans="1:17" x14ac:dyDescent="0.25">
      <c r="A18" s="2" t="s">
        <v>153</v>
      </c>
      <c r="B18" s="2" t="s">
        <v>18</v>
      </c>
      <c r="C18" s="2" t="s">
        <v>154</v>
      </c>
      <c r="D18" s="2" t="s">
        <v>20</v>
      </c>
      <c r="E18" s="2" t="s">
        <v>78</v>
      </c>
      <c r="F18" s="2" t="s">
        <v>155</v>
      </c>
      <c r="G18" s="2" t="s">
        <v>23</v>
      </c>
      <c r="H18" s="2" t="s">
        <v>23</v>
      </c>
      <c r="I18" s="2" t="s">
        <v>38</v>
      </c>
      <c r="J18" s="2" t="s">
        <v>151</v>
      </c>
      <c r="K18" s="2" t="s">
        <v>156</v>
      </c>
      <c r="L18" s="2" t="s">
        <v>157</v>
      </c>
      <c r="M18" s="2" t="s">
        <v>48</v>
      </c>
      <c r="N18" s="2" t="s">
        <v>158</v>
      </c>
      <c r="O18" s="3">
        <v>5</v>
      </c>
      <c r="P18" s="2" t="s">
        <v>30</v>
      </c>
      <c r="Q18" s="2" t="s">
        <v>31</v>
      </c>
    </row>
    <row r="19" spans="1:17" x14ac:dyDescent="0.25">
      <c r="A19" s="2" t="s">
        <v>159</v>
      </c>
      <c r="B19" s="2" t="s">
        <v>54</v>
      </c>
      <c r="C19" s="2" t="s">
        <v>160</v>
      </c>
      <c r="D19" s="2" t="s">
        <v>113</v>
      </c>
      <c r="E19" s="2" t="s">
        <v>161</v>
      </c>
      <c r="F19" s="2" t="s">
        <v>162</v>
      </c>
      <c r="G19" s="2" t="s">
        <v>23</v>
      </c>
      <c r="H19" s="2" t="s">
        <v>23</v>
      </c>
      <c r="I19" s="2" t="s">
        <v>88</v>
      </c>
      <c r="J19" s="2" t="s">
        <v>163</v>
      </c>
      <c r="K19" s="2" t="s">
        <v>164</v>
      </c>
      <c r="L19" s="2" t="s">
        <v>91</v>
      </c>
      <c r="M19" s="2" t="s">
        <v>41</v>
      </c>
      <c r="N19" s="2" t="s">
        <v>92</v>
      </c>
      <c r="O19" s="3">
        <v>2</v>
      </c>
      <c r="P19" s="2" t="s">
        <v>30</v>
      </c>
      <c r="Q19" s="2" t="s">
        <v>31</v>
      </c>
    </row>
    <row r="20" spans="1:17" x14ac:dyDescent="0.25">
      <c r="A20" s="2" t="s">
        <v>165</v>
      </c>
      <c r="B20" s="2" t="s">
        <v>141</v>
      </c>
      <c r="C20" s="2" t="s">
        <v>166</v>
      </c>
      <c r="D20" s="2" t="s">
        <v>167</v>
      </c>
      <c r="G20" s="2" t="s">
        <v>23</v>
      </c>
      <c r="H20" s="2" t="s">
        <v>23</v>
      </c>
      <c r="I20" s="2" t="s">
        <v>88</v>
      </c>
      <c r="J20" s="2" t="s">
        <v>168</v>
      </c>
      <c r="K20" s="2" t="s">
        <v>169</v>
      </c>
      <c r="L20" s="2" t="s">
        <v>170</v>
      </c>
      <c r="M20" s="2" t="s">
        <v>41</v>
      </c>
      <c r="N20" s="2" t="s">
        <v>92</v>
      </c>
      <c r="O20" s="3">
        <v>10</v>
      </c>
      <c r="P20" s="2" t="s">
        <v>49</v>
      </c>
      <c r="Q20" s="2" t="s">
        <v>50</v>
      </c>
    </row>
    <row r="21" spans="1:17" x14ac:dyDescent="0.25">
      <c r="A21" s="2" t="s">
        <v>171</v>
      </c>
      <c r="B21" s="2" t="s">
        <v>172</v>
      </c>
      <c r="C21" s="2" t="s">
        <v>173</v>
      </c>
      <c r="D21" s="2" t="s">
        <v>87</v>
      </c>
      <c r="E21" s="2" t="s">
        <v>94</v>
      </c>
      <c r="F21" s="2" t="s">
        <v>174</v>
      </c>
      <c r="G21" s="2" t="s">
        <v>23</v>
      </c>
      <c r="H21" s="2" t="s">
        <v>23</v>
      </c>
      <c r="I21" s="2" t="s">
        <v>24</v>
      </c>
      <c r="J21" s="2" t="s">
        <v>175</v>
      </c>
      <c r="K21" s="2" t="s">
        <v>176</v>
      </c>
      <c r="L21" s="2" t="s">
        <v>124</v>
      </c>
      <c r="M21" s="2" t="s">
        <v>177</v>
      </c>
      <c r="N21" s="2" t="s">
        <v>125</v>
      </c>
      <c r="O21" s="3">
        <v>5</v>
      </c>
      <c r="P21" s="2" t="s">
        <v>30</v>
      </c>
      <c r="Q21" s="2" t="s">
        <v>31</v>
      </c>
    </row>
    <row r="22" spans="1:17" x14ac:dyDescent="0.25">
      <c r="A22" s="2" t="s">
        <v>178</v>
      </c>
      <c r="B22" s="2" t="s">
        <v>94</v>
      </c>
      <c r="C22" s="2" t="s">
        <v>179</v>
      </c>
      <c r="D22" s="2" t="s">
        <v>87</v>
      </c>
      <c r="E22" s="2" t="s">
        <v>33</v>
      </c>
      <c r="F22" s="2" t="s">
        <v>180</v>
      </c>
      <c r="G22" s="2" t="s">
        <v>23</v>
      </c>
      <c r="H22" s="2" t="s">
        <v>23</v>
      </c>
      <c r="I22" s="2" t="s">
        <v>88</v>
      </c>
      <c r="J22" s="2" t="s">
        <v>181</v>
      </c>
      <c r="K22" s="2" t="s">
        <v>182</v>
      </c>
      <c r="L22" s="2" t="s">
        <v>100</v>
      </c>
      <c r="M22" s="2" t="s">
        <v>41</v>
      </c>
      <c r="N22" s="2" t="s">
        <v>68</v>
      </c>
      <c r="O22" s="3">
        <v>5</v>
      </c>
      <c r="P22" s="2" t="s">
        <v>30</v>
      </c>
      <c r="Q22" s="2" t="s">
        <v>31</v>
      </c>
    </row>
    <row r="23" spans="1:17" x14ac:dyDescent="0.25">
      <c r="A23" s="2" t="s">
        <v>183</v>
      </c>
      <c r="B23" s="2" t="s">
        <v>172</v>
      </c>
      <c r="C23" s="2" t="s">
        <v>184</v>
      </c>
      <c r="D23" s="2" t="s">
        <v>20</v>
      </c>
      <c r="E23" s="2" t="s">
        <v>21</v>
      </c>
      <c r="F23" s="2" t="s">
        <v>185</v>
      </c>
      <c r="G23" s="2" t="s">
        <v>23</v>
      </c>
      <c r="H23" s="2" t="s">
        <v>23</v>
      </c>
      <c r="I23" s="2" t="s">
        <v>88</v>
      </c>
      <c r="J23" s="2" t="s">
        <v>186</v>
      </c>
      <c r="K23" s="2" t="s">
        <v>187</v>
      </c>
      <c r="L23" s="2" t="s">
        <v>188</v>
      </c>
      <c r="M23" s="2" t="s">
        <v>177</v>
      </c>
      <c r="N23" s="2" t="s">
        <v>189</v>
      </c>
      <c r="O23" s="3">
        <v>10</v>
      </c>
      <c r="P23" s="2" t="s">
        <v>30</v>
      </c>
      <c r="Q23" s="2" t="s">
        <v>31</v>
      </c>
    </row>
    <row r="24" spans="1:17" x14ac:dyDescent="0.25">
      <c r="A24" s="2" t="s">
        <v>190</v>
      </c>
      <c r="B24" s="2" t="s">
        <v>191</v>
      </c>
      <c r="C24" s="2" t="s">
        <v>192</v>
      </c>
      <c r="D24" s="2" t="s">
        <v>44</v>
      </c>
      <c r="E24" s="2" t="s">
        <v>72</v>
      </c>
      <c r="F24" s="2" t="s">
        <v>193</v>
      </c>
      <c r="G24" s="2" t="s">
        <v>23</v>
      </c>
      <c r="H24" s="2" t="s">
        <v>23</v>
      </c>
      <c r="I24" s="2" t="s">
        <v>88</v>
      </c>
      <c r="J24" s="2" t="s">
        <v>194</v>
      </c>
      <c r="K24" s="2" t="s">
        <v>195</v>
      </c>
      <c r="L24" s="2" t="s">
        <v>100</v>
      </c>
      <c r="M24" s="2" t="s">
        <v>28</v>
      </c>
      <c r="N24" s="2" t="s">
        <v>68</v>
      </c>
      <c r="O24" s="3">
        <v>6</v>
      </c>
      <c r="P24" s="2" t="s">
        <v>30</v>
      </c>
      <c r="Q24" s="2" t="s">
        <v>31</v>
      </c>
    </row>
    <row r="25" spans="1:17" x14ac:dyDescent="0.25">
      <c r="A25" s="2" t="s">
        <v>196</v>
      </c>
      <c r="B25" s="2" t="s">
        <v>197</v>
      </c>
      <c r="C25" s="2" t="s">
        <v>198</v>
      </c>
      <c r="D25" s="2" t="s">
        <v>87</v>
      </c>
      <c r="G25" s="2" t="s">
        <v>23</v>
      </c>
      <c r="H25" s="2" t="s">
        <v>23</v>
      </c>
      <c r="I25" s="2" t="s">
        <v>38</v>
      </c>
      <c r="J25" s="2" t="s">
        <v>199</v>
      </c>
      <c r="K25" s="2" t="s">
        <v>200</v>
      </c>
      <c r="L25" s="2" t="s">
        <v>201</v>
      </c>
      <c r="M25" s="2" t="s">
        <v>41</v>
      </c>
      <c r="N25" s="2" t="s">
        <v>158</v>
      </c>
      <c r="O25" s="3">
        <v>2</v>
      </c>
      <c r="P25" s="2" t="s">
        <v>49</v>
      </c>
      <c r="Q25" s="2" t="s">
        <v>50</v>
      </c>
    </row>
    <row r="26" spans="1:17" x14ac:dyDescent="0.25">
      <c r="A26" s="2" t="s">
        <v>202</v>
      </c>
      <c r="B26" s="2" t="s">
        <v>191</v>
      </c>
      <c r="C26" s="2" t="s">
        <v>203</v>
      </c>
      <c r="D26" s="2" t="s">
        <v>44</v>
      </c>
      <c r="E26" s="2" t="s">
        <v>33</v>
      </c>
      <c r="F26" s="2" t="s">
        <v>204</v>
      </c>
      <c r="G26" s="2" t="s">
        <v>23</v>
      </c>
      <c r="H26" s="2" t="s">
        <v>23</v>
      </c>
      <c r="I26" s="2" t="s">
        <v>24</v>
      </c>
      <c r="J26" s="2" t="s">
        <v>205</v>
      </c>
      <c r="K26" s="2" t="s">
        <v>206</v>
      </c>
      <c r="L26" s="2" t="s">
        <v>207</v>
      </c>
      <c r="M26" s="2" t="s">
        <v>28</v>
      </c>
      <c r="N26" s="2" t="s">
        <v>125</v>
      </c>
      <c r="O26" s="3">
        <v>5</v>
      </c>
      <c r="P26" s="2" t="s">
        <v>30</v>
      </c>
      <c r="Q26" s="2" t="s">
        <v>31</v>
      </c>
    </row>
    <row r="27" spans="1:17" x14ac:dyDescent="0.25">
      <c r="A27" s="2" t="s">
        <v>208</v>
      </c>
      <c r="B27" s="2" t="s">
        <v>209</v>
      </c>
      <c r="C27" s="2" t="s">
        <v>210</v>
      </c>
      <c r="D27" s="2" t="s">
        <v>104</v>
      </c>
      <c r="E27" s="2" t="s">
        <v>211</v>
      </c>
      <c r="F27" s="2" t="s">
        <v>212</v>
      </c>
      <c r="G27" s="2" t="s">
        <v>23</v>
      </c>
      <c r="H27" s="2" t="s">
        <v>23</v>
      </c>
      <c r="I27" s="2" t="s">
        <v>56</v>
      </c>
      <c r="J27" s="2" t="s">
        <v>213</v>
      </c>
      <c r="K27" s="2" t="s">
        <v>214</v>
      </c>
      <c r="L27" s="2" t="s">
        <v>215</v>
      </c>
      <c r="M27" s="2" t="s">
        <v>41</v>
      </c>
      <c r="N27" s="2" t="s">
        <v>216</v>
      </c>
      <c r="O27" s="3">
        <v>7</v>
      </c>
      <c r="P27" s="2" t="s">
        <v>30</v>
      </c>
      <c r="Q27" s="2" t="s">
        <v>31</v>
      </c>
    </row>
    <row r="28" spans="1:17" x14ac:dyDescent="0.25">
      <c r="A28" s="2" t="s">
        <v>217</v>
      </c>
      <c r="B28" s="2" t="s">
        <v>211</v>
      </c>
      <c r="C28" s="2" t="s">
        <v>218</v>
      </c>
      <c r="D28" s="2" t="s">
        <v>219</v>
      </c>
      <c r="E28" s="2" t="s">
        <v>105</v>
      </c>
      <c r="F28" s="2" t="s">
        <v>220</v>
      </c>
      <c r="G28" s="2" t="s">
        <v>23</v>
      </c>
      <c r="H28" s="2" t="s">
        <v>23</v>
      </c>
      <c r="I28" s="2" t="s">
        <v>88</v>
      </c>
      <c r="J28" s="2" t="s">
        <v>221</v>
      </c>
      <c r="K28" s="2" t="s">
        <v>222</v>
      </c>
      <c r="L28" s="2" t="s">
        <v>131</v>
      </c>
      <c r="M28" s="2" t="s">
        <v>177</v>
      </c>
      <c r="N28" s="2" t="s">
        <v>132</v>
      </c>
      <c r="O28" s="3">
        <v>6</v>
      </c>
      <c r="P28" s="2" t="s">
        <v>30</v>
      </c>
      <c r="Q28" s="2" t="s">
        <v>31</v>
      </c>
    </row>
    <row r="29" spans="1:17" x14ac:dyDescent="0.25">
      <c r="A29" s="2" t="s">
        <v>223</v>
      </c>
      <c r="B29" s="2" t="s">
        <v>224</v>
      </c>
      <c r="C29" s="2" t="s">
        <v>225</v>
      </c>
      <c r="D29" s="2" t="s">
        <v>113</v>
      </c>
      <c r="E29" s="2" t="s">
        <v>226</v>
      </c>
      <c r="F29" s="2" t="s">
        <v>227</v>
      </c>
      <c r="G29" s="2" t="s">
        <v>23</v>
      </c>
      <c r="H29" s="2" t="s">
        <v>23</v>
      </c>
      <c r="I29" s="2" t="s">
        <v>38</v>
      </c>
      <c r="J29" s="2" t="s">
        <v>228</v>
      </c>
      <c r="K29" s="2" t="s">
        <v>229</v>
      </c>
      <c r="L29" s="2" t="s">
        <v>230</v>
      </c>
      <c r="M29" s="2" t="s">
        <v>41</v>
      </c>
      <c r="N29" s="2" t="s">
        <v>29</v>
      </c>
      <c r="O29" s="3">
        <v>2</v>
      </c>
      <c r="P29" s="2" t="s">
        <v>30</v>
      </c>
      <c r="Q29" s="2" t="s">
        <v>31</v>
      </c>
    </row>
    <row r="30" spans="1:17" x14ac:dyDescent="0.25">
      <c r="A30" s="2" t="s">
        <v>231</v>
      </c>
      <c r="B30" s="2" t="s">
        <v>226</v>
      </c>
      <c r="C30" s="2" t="s">
        <v>232</v>
      </c>
      <c r="D30" s="2" t="s">
        <v>44</v>
      </c>
      <c r="E30" s="2" t="s">
        <v>233</v>
      </c>
      <c r="F30" s="2" t="s">
        <v>234</v>
      </c>
      <c r="G30" s="2" t="s">
        <v>23</v>
      </c>
      <c r="H30" s="2" t="s">
        <v>23</v>
      </c>
      <c r="I30" s="2" t="s">
        <v>24</v>
      </c>
      <c r="J30" s="2" t="s">
        <v>235</v>
      </c>
      <c r="K30" s="2" t="s">
        <v>236</v>
      </c>
      <c r="L30" s="2" t="s">
        <v>100</v>
      </c>
      <c r="M30" s="2" t="s">
        <v>177</v>
      </c>
      <c r="N30" s="2" t="s">
        <v>68</v>
      </c>
      <c r="O30" s="3">
        <v>3</v>
      </c>
      <c r="P30" s="2" t="s">
        <v>30</v>
      </c>
      <c r="Q30" s="2" t="s">
        <v>31</v>
      </c>
    </row>
    <row r="31" spans="1:17" x14ac:dyDescent="0.25">
      <c r="A31" s="2" t="s">
        <v>237</v>
      </c>
      <c r="B31" s="2" t="s">
        <v>224</v>
      </c>
      <c r="C31" s="2" t="s">
        <v>238</v>
      </c>
      <c r="D31" s="2" t="s">
        <v>113</v>
      </c>
      <c r="G31" s="2" t="s">
        <v>23</v>
      </c>
      <c r="H31" s="2" t="s">
        <v>23</v>
      </c>
      <c r="I31" s="2" t="s">
        <v>88</v>
      </c>
      <c r="J31" s="2" t="s">
        <v>239</v>
      </c>
      <c r="K31" s="2" t="s">
        <v>240</v>
      </c>
      <c r="L31" s="2" t="s">
        <v>241</v>
      </c>
      <c r="M31" s="2" t="s">
        <v>48</v>
      </c>
      <c r="N31" s="2" t="s">
        <v>242</v>
      </c>
      <c r="O31" s="3">
        <v>1</v>
      </c>
      <c r="P31" s="2" t="s">
        <v>49</v>
      </c>
      <c r="Q31" s="2" t="s">
        <v>50</v>
      </c>
    </row>
    <row r="32" spans="1:17" x14ac:dyDescent="0.25">
      <c r="A32" s="2" t="s">
        <v>243</v>
      </c>
      <c r="B32" s="2" t="s">
        <v>191</v>
      </c>
      <c r="C32" s="2" t="s">
        <v>244</v>
      </c>
      <c r="D32" s="2" t="s">
        <v>104</v>
      </c>
      <c r="E32" s="2" t="s">
        <v>209</v>
      </c>
      <c r="F32" s="2" t="s">
        <v>245</v>
      </c>
      <c r="G32" s="2" t="s">
        <v>23</v>
      </c>
      <c r="H32" s="2" t="s">
        <v>23</v>
      </c>
      <c r="I32" s="2" t="s">
        <v>88</v>
      </c>
      <c r="J32" s="2" t="s">
        <v>246</v>
      </c>
      <c r="K32" s="2" t="s">
        <v>247</v>
      </c>
      <c r="L32" s="2" t="s">
        <v>248</v>
      </c>
      <c r="M32" s="2" t="s">
        <v>41</v>
      </c>
      <c r="N32" s="2" t="s">
        <v>148</v>
      </c>
      <c r="O32" s="3">
        <v>8</v>
      </c>
      <c r="P32" s="2" t="s">
        <v>30</v>
      </c>
      <c r="Q32" s="2" t="s">
        <v>31</v>
      </c>
    </row>
    <row r="33" spans="1:17" x14ac:dyDescent="0.25">
      <c r="A33" s="2" t="s">
        <v>249</v>
      </c>
      <c r="B33" s="2" t="s">
        <v>197</v>
      </c>
      <c r="C33" s="2" t="s">
        <v>250</v>
      </c>
      <c r="D33" s="2" t="s">
        <v>167</v>
      </c>
      <c r="G33" s="2" t="s">
        <v>23</v>
      </c>
      <c r="H33" s="2" t="s">
        <v>23</v>
      </c>
      <c r="I33" s="2" t="s">
        <v>88</v>
      </c>
      <c r="J33" s="2" t="s">
        <v>251</v>
      </c>
      <c r="K33" s="2" t="s">
        <v>252</v>
      </c>
      <c r="L33" s="2" t="s">
        <v>253</v>
      </c>
      <c r="M33" s="2" t="s">
        <v>28</v>
      </c>
      <c r="N33" s="2" t="s">
        <v>92</v>
      </c>
      <c r="O33" s="3">
        <v>7</v>
      </c>
      <c r="P33" s="2" t="s">
        <v>30</v>
      </c>
      <c r="Q33" s="2" t="s">
        <v>31</v>
      </c>
    </row>
    <row r="34" spans="1:17" x14ac:dyDescent="0.25">
      <c r="A34" s="2" t="s">
        <v>254</v>
      </c>
      <c r="B34" s="2" t="s">
        <v>255</v>
      </c>
      <c r="C34" s="2" t="s">
        <v>256</v>
      </c>
      <c r="D34" s="2" t="s">
        <v>219</v>
      </c>
      <c r="E34" s="2" t="s">
        <v>257</v>
      </c>
      <c r="F34" s="2" t="s">
        <v>258</v>
      </c>
      <c r="G34" s="2" t="s">
        <v>23</v>
      </c>
      <c r="H34" s="2" t="s">
        <v>23</v>
      </c>
      <c r="I34" s="2" t="s">
        <v>56</v>
      </c>
      <c r="J34" s="2" t="s">
        <v>259</v>
      </c>
      <c r="K34" s="2" t="s">
        <v>260</v>
      </c>
      <c r="L34" s="2" t="s">
        <v>67</v>
      </c>
      <c r="M34" s="2" t="s">
        <v>41</v>
      </c>
      <c r="N34" s="2" t="s">
        <v>68</v>
      </c>
      <c r="O34" s="3">
        <v>8</v>
      </c>
      <c r="P34" s="2" t="s">
        <v>30</v>
      </c>
      <c r="Q34" s="2" t="s">
        <v>31</v>
      </c>
    </row>
    <row r="35" spans="1:17" x14ac:dyDescent="0.25">
      <c r="A35" s="2" t="s">
        <v>261</v>
      </c>
      <c r="B35" s="2" t="s">
        <v>209</v>
      </c>
      <c r="C35" s="2" t="s">
        <v>262</v>
      </c>
      <c r="D35" s="2" t="s">
        <v>104</v>
      </c>
      <c r="G35" s="2" t="s">
        <v>23</v>
      </c>
      <c r="H35" s="2" t="s">
        <v>23</v>
      </c>
      <c r="I35" s="2" t="s">
        <v>24</v>
      </c>
      <c r="J35" s="2" t="s">
        <v>263</v>
      </c>
      <c r="K35" s="2" t="s">
        <v>264</v>
      </c>
      <c r="L35" s="2" t="s">
        <v>265</v>
      </c>
      <c r="M35" s="2" t="s">
        <v>177</v>
      </c>
      <c r="N35" s="2" t="s">
        <v>125</v>
      </c>
      <c r="O35" s="3">
        <v>7</v>
      </c>
      <c r="P35" s="2" t="s">
        <v>49</v>
      </c>
      <c r="Q35" s="2" t="s">
        <v>50</v>
      </c>
    </row>
    <row r="36" spans="1:17" x14ac:dyDescent="0.25">
      <c r="A36" s="2" t="s">
        <v>266</v>
      </c>
      <c r="B36" s="2" t="s">
        <v>267</v>
      </c>
      <c r="C36" s="2" t="s">
        <v>268</v>
      </c>
      <c r="D36" s="2" t="s">
        <v>80</v>
      </c>
      <c r="E36" s="2" t="s">
        <v>172</v>
      </c>
      <c r="F36" s="2" t="s">
        <v>269</v>
      </c>
      <c r="G36" s="2" t="s">
        <v>23</v>
      </c>
      <c r="H36" s="2" t="s">
        <v>23</v>
      </c>
      <c r="I36" s="2" t="s">
        <v>56</v>
      </c>
      <c r="J36" s="2" t="s">
        <v>270</v>
      </c>
      <c r="K36" s="2" t="s">
        <v>271</v>
      </c>
      <c r="L36" s="2" t="s">
        <v>272</v>
      </c>
      <c r="M36" s="2" t="s">
        <v>48</v>
      </c>
      <c r="N36" s="2" t="s">
        <v>216</v>
      </c>
      <c r="O36" s="3">
        <v>4</v>
      </c>
      <c r="P36" s="2" t="s">
        <v>30</v>
      </c>
      <c r="Q36" s="2" t="s">
        <v>31</v>
      </c>
    </row>
    <row r="37" spans="1:17" x14ac:dyDescent="0.25">
      <c r="A37" s="2" t="s">
        <v>273</v>
      </c>
      <c r="B37" s="2" t="s">
        <v>127</v>
      </c>
      <c r="C37" s="2" t="s">
        <v>274</v>
      </c>
      <c r="D37" s="2" t="s">
        <v>44</v>
      </c>
      <c r="G37" s="2" t="s">
        <v>23</v>
      </c>
      <c r="H37" s="2" t="s">
        <v>23</v>
      </c>
      <c r="I37" s="2" t="s">
        <v>24</v>
      </c>
      <c r="J37" s="2" t="s">
        <v>275</v>
      </c>
      <c r="K37" s="2" t="s">
        <v>276</v>
      </c>
      <c r="L37" s="2" t="s">
        <v>277</v>
      </c>
      <c r="M37" s="2" t="s">
        <v>41</v>
      </c>
      <c r="N37" s="2" t="s">
        <v>29</v>
      </c>
      <c r="O37" s="3">
        <v>3</v>
      </c>
      <c r="P37" s="2" t="s">
        <v>49</v>
      </c>
      <c r="Q37" s="2" t="s">
        <v>116</v>
      </c>
    </row>
    <row r="38" spans="1:17" x14ac:dyDescent="0.25">
      <c r="A38" s="2" t="s">
        <v>278</v>
      </c>
      <c r="B38" s="2" t="s">
        <v>191</v>
      </c>
      <c r="C38" s="2" t="s">
        <v>279</v>
      </c>
      <c r="D38" s="2" t="s">
        <v>104</v>
      </c>
      <c r="E38" s="2" t="s">
        <v>280</v>
      </c>
      <c r="F38" s="2" t="s">
        <v>281</v>
      </c>
      <c r="G38" s="2" t="s">
        <v>23</v>
      </c>
      <c r="H38" s="2" t="s">
        <v>23</v>
      </c>
      <c r="I38" s="2" t="s">
        <v>38</v>
      </c>
      <c r="J38" s="2" t="s">
        <v>282</v>
      </c>
      <c r="K38" s="2" t="s">
        <v>283</v>
      </c>
      <c r="L38" s="2" t="s">
        <v>284</v>
      </c>
      <c r="M38" s="2" t="s">
        <v>48</v>
      </c>
      <c r="N38" s="2" t="s">
        <v>285</v>
      </c>
      <c r="O38" s="3">
        <v>5</v>
      </c>
      <c r="P38" s="2" t="s">
        <v>30</v>
      </c>
      <c r="Q38" s="2" t="s">
        <v>31</v>
      </c>
    </row>
    <row r="39" spans="1:17" x14ac:dyDescent="0.25">
      <c r="A39" s="2" t="s">
        <v>286</v>
      </c>
      <c r="B39" s="2" t="s">
        <v>191</v>
      </c>
      <c r="C39" s="2" t="s">
        <v>287</v>
      </c>
      <c r="D39" s="2" t="s">
        <v>113</v>
      </c>
      <c r="E39" s="2" t="s">
        <v>288</v>
      </c>
      <c r="F39" s="2" t="s">
        <v>289</v>
      </c>
      <c r="G39" s="2" t="s">
        <v>23</v>
      </c>
      <c r="H39" s="2" t="s">
        <v>23</v>
      </c>
      <c r="I39" s="2" t="s">
        <v>38</v>
      </c>
      <c r="J39" s="2" t="s">
        <v>290</v>
      </c>
      <c r="K39" s="2" t="s">
        <v>291</v>
      </c>
      <c r="L39" s="2" t="s">
        <v>284</v>
      </c>
      <c r="M39" s="2" t="s">
        <v>177</v>
      </c>
      <c r="N39" s="2" t="s">
        <v>285</v>
      </c>
      <c r="O39" s="3">
        <v>7</v>
      </c>
      <c r="P39" s="2" t="s">
        <v>30</v>
      </c>
      <c r="Q39" s="2" t="s">
        <v>31</v>
      </c>
    </row>
    <row r="40" spans="1:17" x14ac:dyDescent="0.25">
      <c r="A40" s="2" t="s">
        <v>292</v>
      </c>
      <c r="B40" s="2" t="s">
        <v>21</v>
      </c>
      <c r="C40" s="2" t="s">
        <v>293</v>
      </c>
      <c r="D40" s="2" t="s">
        <v>167</v>
      </c>
      <c r="E40" s="2" t="s">
        <v>33</v>
      </c>
      <c r="F40" s="2" t="s">
        <v>294</v>
      </c>
      <c r="G40" s="2" t="s">
        <v>23</v>
      </c>
      <c r="H40" s="2" t="s">
        <v>23</v>
      </c>
      <c r="I40" s="2" t="s">
        <v>38</v>
      </c>
      <c r="J40" s="2" t="s">
        <v>295</v>
      </c>
      <c r="K40" s="2" t="s">
        <v>296</v>
      </c>
      <c r="L40" s="2" t="s">
        <v>297</v>
      </c>
      <c r="M40" s="2" t="s">
        <v>177</v>
      </c>
      <c r="N40" s="2" t="s">
        <v>285</v>
      </c>
      <c r="O40" s="3">
        <v>7</v>
      </c>
      <c r="P40" s="2" t="s">
        <v>30</v>
      </c>
      <c r="Q40" s="2" t="s">
        <v>31</v>
      </c>
    </row>
    <row r="41" spans="1:17" x14ac:dyDescent="0.25">
      <c r="A41" s="2" t="s">
        <v>298</v>
      </c>
      <c r="B41" s="2" t="s">
        <v>299</v>
      </c>
      <c r="C41" s="2" t="s">
        <v>300</v>
      </c>
      <c r="D41" s="2" t="s">
        <v>44</v>
      </c>
      <c r="E41" s="2" t="s">
        <v>301</v>
      </c>
      <c r="F41" s="2" t="s">
        <v>302</v>
      </c>
      <c r="G41" s="2" t="s">
        <v>23</v>
      </c>
      <c r="H41" s="2" t="s">
        <v>23</v>
      </c>
      <c r="I41" s="2" t="s">
        <v>38</v>
      </c>
      <c r="J41" s="2" t="s">
        <v>303</v>
      </c>
      <c r="K41" s="2" t="s">
        <v>304</v>
      </c>
      <c r="L41" s="2" t="s">
        <v>305</v>
      </c>
      <c r="M41" s="2" t="s">
        <v>28</v>
      </c>
      <c r="N41" s="2" t="s">
        <v>158</v>
      </c>
      <c r="O41" s="3">
        <v>3</v>
      </c>
      <c r="P41" s="2" t="s">
        <v>30</v>
      </c>
      <c r="Q41" s="2" t="s">
        <v>31</v>
      </c>
    </row>
    <row r="42" spans="1:17" x14ac:dyDescent="0.25">
      <c r="A42" s="2" t="s">
        <v>306</v>
      </c>
      <c r="B42" s="2" t="s">
        <v>301</v>
      </c>
      <c r="C42" s="2" t="s">
        <v>307</v>
      </c>
      <c r="D42" s="2" t="s">
        <v>219</v>
      </c>
      <c r="E42" s="2" t="s">
        <v>78</v>
      </c>
      <c r="F42" s="2" t="s">
        <v>308</v>
      </c>
      <c r="G42" s="2" t="s">
        <v>23</v>
      </c>
      <c r="H42" s="2" t="s">
        <v>23</v>
      </c>
      <c r="I42" s="2" t="s">
        <v>38</v>
      </c>
      <c r="J42" s="2" t="s">
        <v>309</v>
      </c>
      <c r="K42" s="2" t="s">
        <v>310</v>
      </c>
      <c r="L42" s="2" t="s">
        <v>311</v>
      </c>
      <c r="M42" s="2" t="s">
        <v>28</v>
      </c>
      <c r="N42" s="2" t="s">
        <v>158</v>
      </c>
      <c r="O42" s="3">
        <v>5</v>
      </c>
      <c r="P42" s="2" t="s">
        <v>30</v>
      </c>
      <c r="Q42" s="2" t="s">
        <v>31</v>
      </c>
    </row>
    <row r="43" spans="1:17" x14ac:dyDescent="0.25">
      <c r="A43" s="2" t="s">
        <v>312</v>
      </c>
      <c r="B43" s="2" t="s">
        <v>313</v>
      </c>
      <c r="C43" s="2" t="s">
        <v>314</v>
      </c>
      <c r="D43" s="2" t="s">
        <v>87</v>
      </c>
      <c r="E43" s="2" t="s">
        <v>299</v>
      </c>
      <c r="F43" s="2" t="s">
        <v>315</v>
      </c>
      <c r="G43" s="2" t="s">
        <v>23</v>
      </c>
      <c r="H43" s="2" t="s">
        <v>23</v>
      </c>
      <c r="I43" s="2" t="s">
        <v>88</v>
      </c>
      <c r="J43" s="2" t="s">
        <v>316</v>
      </c>
      <c r="K43" s="2" t="s">
        <v>317</v>
      </c>
      <c r="L43" s="2" t="s">
        <v>318</v>
      </c>
      <c r="M43" s="2" t="s">
        <v>177</v>
      </c>
      <c r="N43" s="2" t="s">
        <v>189</v>
      </c>
      <c r="O43" s="3">
        <v>8</v>
      </c>
      <c r="P43" s="2" t="s">
        <v>30</v>
      </c>
      <c r="Q43" s="2" t="s">
        <v>31</v>
      </c>
    </row>
    <row r="44" spans="1:17" x14ac:dyDescent="0.25">
      <c r="A44" s="2" t="s">
        <v>319</v>
      </c>
      <c r="B44" s="2" t="s">
        <v>63</v>
      </c>
      <c r="C44" s="2" t="s">
        <v>320</v>
      </c>
      <c r="D44" s="2" t="s">
        <v>104</v>
      </c>
      <c r="E44" s="2" t="s">
        <v>321</v>
      </c>
      <c r="F44" s="2" t="s">
        <v>322</v>
      </c>
      <c r="G44" s="2" t="s">
        <v>23</v>
      </c>
      <c r="H44" s="2" t="s">
        <v>23</v>
      </c>
      <c r="I44" s="2" t="s">
        <v>88</v>
      </c>
      <c r="J44" s="2" t="s">
        <v>323</v>
      </c>
      <c r="K44" s="2" t="s">
        <v>324</v>
      </c>
      <c r="L44" s="2" t="s">
        <v>241</v>
      </c>
      <c r="M44" s="2" t="s">
        <v>41</v>
      </c>
      <c r="N44" s="2" t="s">
        <v>242</v>
      </c>
      <c r="O44" s="3">
        <v>7</v>
      </c>
      <c r="P44" s="2" t="s">
        <v>30</v>
      </c>
      <c r="Q44" s="2" t="s">
        <v>31</v>
      </c>
    </row>
    <row r="45" spans="1:17" x14ac:dyDescent="0.25">
      <c r="A45" s="2" t="s">
        <v>325</v>
      </c>
      <c r="B45" s="2" t="s">
        <v>191</v>
      </c>
      <c r="C45" s="2" t="s">
        <v>326</v>
      </c>
      <c r="D45" s="2" t="s">
        <v>104</v>
      </c>
      <c r="E45" s="2" t="s">
        <v>288</v>
      </c>
      <c r="F45" s="2" t="s">
        <v>327</v>
      </c>
      <c r="G45" s="2" t="s">
        <v>23</v>
      </c>
      <c r="H45" s="2" t="s">
        <v>23</v>
      </c>
      <c r="I45" s="2" t="s">
        <v>88</v>
      </c>
      <c r="J45" s="2" t="s">
        <v>328</v>
      </c>
      <c r="K45" s="2" t="s">
        <v>329</v>
      </c>
      <c r="L45" s="2" t="s">
        <v>241</v>
      </c>
      <c r="M45" s="2" t="s">
        <v>48</v>
      </c>
      <c r="N45" s="2" t="s">
        <v>242</v>
      </c>
      <c r="O45" s="3">
        <v>8</v>
      </c>
      <c r="P45" s="2" t="s">
        <v>30</v>
      </c>
      <c r="Q45" s="2" t="s">
        <v>31</v>
      </c>
    </row>
    <row r="46" spans="1:17" x14ac:dyDescent="0.25">
      <c r="A46" s="2" t="s">
        <v>330</v>
      </c>
      <c r="B46" s="2" t="s">
        <v>331</v>
      </c>
      <c r="C46" s="2" t="s">
        <v>332</v>
      </c>
      <c r="D46" s="2" t="s">
        <v>44</v>
      </c>
      <c r="G46" s="2" t="s">
        <v>23</v>
      </c>
      <c r="H46" s="2" t="s">
        <v>23</v>
      </c>
      <c r="I46" s="2" t="s">
        <v>38</v>
      </c>
      <c r="J46" s="2" t="s">
        <v>333</v>
      </c>
      <c r="K46" s="2" t="s">
        <v>334</v>
      </c>
      <c r="L46" s="2" t="s">
        <v>335</v>
      </c>
      <c r="M46" s="2" t="s">
        <v>48</v>
      </c>
      <c r="N46" s="2" t="s">
        <v>148</v>
      </c>
      <c r="O46" s="3">
        <v>9</v>
      </c>
      <c r="P46" s="2" t="s">
        <v>49</v>
      </c>
      <c r="Q46" s="2" t="s">
        <v>50</v>
      </c>
    </row>
    <row r="47" spans="1:17" x14ac:dyDescent="0.25">
      <c r="A47" s="2" t="s">
        <v>336</v>
      </c>
      <c r="B47" s="2" t="s">
        <v>224</v>
      </c>
      <c r="C47" s="2" t="s">
        <v>337</v>
      </c>
      <c r="D47" s="2" t="s">
        <v>219</v>
      </c>
      <c r="E47" s="2" t="s">
        <v>313</v>
      </c>
      <c r="F47" s="2" t="s">
        <v>338</v>
      </c>
      <c r="G47" s="2" t="s">
        <v>23</v>
      </c>
      <c r="H47" s="2" t="s">
        <v>23</v>
      </c>
      <c r="I47" s="2" t="s">
        <v>38</v>
      </c>
      <c r="J47" s="2" t="s">
        <v>339</v>
      </c>
      <c r="K47" s="2" t="s">
        <v>340</v>
      </c>
      <c r="L47" s="2" t="s">
        <v>100</v>
      </c>
      <c r="M47" s="2" t="s">
        <v>177</v>
      </c>
      <c r="N47" s="2" t="s">
        <v>68</v>
      </c>
      <c r="O47" s="3">
        <v>6</v>
      </c>
      <c r="P47" s="2" t="s">
        <v>30</v>
      </c>
      <c r="Q47" s="2" t="s">
        <v>31</v>
      </c>
    </row>
    <row r="48" spans="1:17" x14ac:dyDescent="0.25">
      <c r="A48" s="2" t="s">
        <v>341</v>
      </c>
      <c r="B48" s="2" t="s">
        <v>313</v>
      </c>
      <c r="C48" s="2" t="s">
        <v>342</v>
      </c>
      <c r="D48" s="2" t="s">
        <v>35</v>
      </c>
      <c r="E48" s="2" t="s">
        <v>343</v>
      </c>
      <c r="F48" s="2" t="s">
        <v>344</v>
      </c>
      <c r="G48" s="2" t="s">
        <v>23</v>
      </c>
      <c r="H48" s="2" t="s">
        <v>23</v>
      </c>
      <c r="I48" s="2" t="s">
        <v>56</v>
      </c>
      <c r="J48" s="2" t="s">
        <v>339</v>
      </c>
      <c r="K48" s="2" t="s">
        <v>345</v>
      </c>
      <c r="L48" s="2" t="s">
        <v>346</v>
      </c>
      <c r="M48" s="2" t="s">
        <v>48</v>
      </c>
      <c r="N48" s="2" t="s">
        <v>60</v>
      </c>
      <c r="O48" s="3">
        <v>7</v>
      </c>
      <c r="P48" s="2" t="s">
        <v>30</v>
      </c>
      <c r="Q48" s="2" t="s">
        <v>31</v>
      </c>
    </row>
    <row r="49" spans="1:17" x14ac:dyDescent="0.25">
      <c r="A49" s="2" t="s">
        <v>347</v>
      </c>
      <c r="B49" s="2" t="s">
        <v>111</v>
      </c>
      <c r="C49" s="2" t="s">
        <v>348</v>
      </c>
      <c r="D49" s="2" t="s">
        <v>35</v>
      </c>
      <c r="E49" s="2" t="s">
        <v>224</v>
      </c>
      <c r="F49" s="2" t="s">
        <v>349</v>
      </c>
      <c r="G49" s="2" t="s">
        <v>23</v>
      </c>
      <c r="H49" s="2" t="s">
        <v>23</v>
      </c>
      <c r="I49" s="2" t="s">
        <v>38</v>
      </c>
      <c r="J49" s="2" t="s">
        <v>350</v>
      </c>
      <c r="K49" s="2" t="s">
        <v>351</v>
      </c>
      <c r="L49" s="2" t="s">
        <v>305</v>
      </c>
      <c r="M49" s="2" t="s">
        <v>48</v>
      </c>
      <c r="N49" s="2" t="s">
        <v>158</v>
      </c>
      <c r="O49" s="3">
        <v>1</v>
      </c>
      <c r="P49" s="2" t="s">
        <v>30</v>
      </c>
      <c r="Q49" s="2" t="s">
        <v>31</v>
      </c>
    </row>
    <row r="50" spans="1:17" x14ac:dyDescent="0.25">
      <c r="A50" s="2" t="s">
        <v>352</v>
      </c>
      <c r="B50" s="2" t="s">
        <v>72</v>
      </c>
      <c r="C50" s="2" t="s">
        <v>353</v>
      </c>
      <c r="D50" s="2" t="s">
        <v>71</v>
      </c>
      <c r="G50" s="2" t="s">
        <v>23</v>
      </c>
      <c r="H50" s="2" t="s">
        <v>23</v>
      </c>
      <c r="I50" s="2" t="s">
        <v>38</v>
      </c>
      <c r="J50" s="2" t="s">
        <v>354</v>
      </c>
      <c r="K50" s="2" t="s">
        <v>355</v>
      </c>
      <c r="L50" s="2" t="s">
        <v>356</v>
      </c>
      <c r="M50" s="2" t="s">
        <v>48</v>
      </c>
      <c r="N50" s="2" t="s">
        <v>148</v>
      </c>
      <c r="O50" s="3">
        <v>5</v>
      </c>
      <c r="P50" s="2" t="s">
        <v>49</v>
      </c>
      <c r="Q50" s="2" t="s">
        <v>50</v>
      </c>
    </row>
    <row r="51" spans="1:17" x14ac:dyDescent="0.25">
      <c r="A51" s="2" t="s">
        <v>357</v>
      </c>
      <c r="B51" s="2" t="s">
        <v>127</v>
      </c>
      <c r="C51" s="2" t="s">
        <v>358</v>
      </c>
      <c r="D51" s="2" t="s">
        <v>87</v>
      </c>
      <c r="E51" s="2" t="s">
        <v>226</v>
      </c>
      <c r="F51" s="2" t="s">
        <v>359</v>
      </c>
      <c r="G51" s="2" t="s">
        <v>23</v>
      </c>
      <c r="H51" s="2" t="s">
        <v>23</v>
      </c>
      <c r="I51" s="2" t="s">
        <v>56</v>
      </c>
      <c r="J51" s="2" t="s">
        <v>360</v>
      </c>
      <c r="K51" s="2" t="s">
        <v>361</v>
      </c>
      <c r="L51" s="2" t="s">
        <v>362</v>
      </c>
      <c r="M51" s="2" t="s">
        <v>177</v>
      </c>
      <c r="N51" s="2" t="s">
        <v>125</v>
      </c>
      <c r="O51" s="3">
        <v>3</v>
      </c>
      <c r="P51" s="2" t="s">
        <v>30</v>
      </c>
      <c r="Q51" s="2" t="s">
        <v>31</v>
      </c>
    </row>
    <row r="52" spans="1:17" x14ac:dyDescent="0.25">
      <c r="A52" s="2" t="s">
        <v>363</v>
      </c>
      <c r="B52" s="2" t="s">
        <v>364</v>
      </c>
      <c r="C52" s="2" t="s">
        <v>365</v>
      </c>
      <c r="D52" s="2" t="s">
        <v>20</v>
      </c>
      <c r="E52" s="2" t="s">
        <v>366</v>
      </c>
      <c r="F52" s="2" t="s">
        <v>367</v>
      </c>
      <c r="G52" s="2" t="s">
        <v>23</v>
      </c>
      <c r="H52" s="2" t="s">
        <v>23</v>
      </c>
      <c r="I52" s="2" t="s">
        <v>24</v>
      </c>
      <c r="J52" s="2" t="s">
        <v>368</v>
      </c>
      <c r="K52" s="2" t="s">
        <v>369</v>
      </c>
      <c r="L52" s="2" t="s">
        <v>370</v>
      </c>
      <c r="M52" s="2" t="s">
        <v>48</v>
      </c>
      <c r="N52" s="2" t="s">
        <v>29</v>
      </c>
      <c r="O52" s="3">
        <v>7</v>
      </c>
      <c r="P52" s="2" t="s">
        <v>30</v>
      </c>
      <c r="Q52" s="2" t="s">
        <v>31</v>
      </c>
    </row>
    <row r="53" spans="1:17" x14ac:dyDescent="0.25">
      <c r="A53" s="2" t="s">
        <v>371</v>
      </c>
      <c r="B53" s="2" t="s">
        <v>372</v>
      </c>
      <c r="C53" s="2" t="s">
        <v>373</v>
      </c>
      <c r="D53" s="2" t="s">
        <v>219</v>
      </c>
      <c r="E53" s="2" t="s">
        <v>374</v>
      </c>
      <c r="F53" s="2" t="s">
        <v>375</v>
      </c>
      <c r="G53" s="2" t="s">
        <v>23</v>
      </c>
      <c r="H53" s="2" t="s">
        <v>23</v>
      </c>
      <c r="I53" s="2" t="s">
        <v>38</v>
      </c>
      <c r="J53" s="2" t="s">
        <v>376</v>
      </c>
      <c r="K53" s="2" t="s">
        <v>377</v>
      </c>
      <c r="L53" s="2" t="s">
        <v>378</v>
      </c>
      <c r="M53" s="2" t="s">
        <v>177</v>
      </c>
      <c r="N53" s="2" t="s">
        <v>379</v>
      </c>
      <c r="O53" s="3">
        <v>3</v>
      </c>
      <c r="P53" s="2" t="s">
        <v>30</v>
      </c>
      <c r="Q53" s="2" t="s">
        <v>31</v>
      </c>
    </row>
    <row r="54" spans="1:17" x14ac:dyDescent="0.25">
      <c r="A54" s="2" t="s">
        <v>380</v>
      </c>
      <c r="B54" s="2" t="s">
        <v>135</v>
      </c>
      <c r="C54" s="2" t="s">
        <v>381</v>
      </c>
      <c r="D54" s="2" t="s">
        <v>35</v>
      </c>
      <c r="G54" s="2" t="s">
        <v>23</v>
      </c>
      <c r="H54" s="2" t="s">
        <v>23</v>
      </c>
      <c r="I54" s="2" t="s">
        <v>38</v>
      </c>
      <c r="J54" s="2" t="s">
        <v>382</v>
      </c>
      <c r="K54" s="2" t="s">
        <v>383</v>
      </c>
      <c r="L54" s="2" t="s">
        <v>248</v>
      </c>
      <c r="M54" s="2" t="s">
        <v>28</v>
      </c>
      <c r="N54" s="2" t="s">
        <v>148</v>
      </c>
      <c r="O54" s="3">
        <v>2</v>
      </c>
      <c r="P54" s="2" t="s">
        <v>49</v>
      </c>
      <c r="Q54" s="2" t="s">
        <v>133</v>
      </c>
    </row>
    <row r="55" spans="1:17" x14ac:dyDescent="0.25">
      <c r="A55" s="2" t="s">
        <v>384</v>
      </c>
      <c r="B55" s="2" t="s">
        <v>127</v>
      </c>
      <c r="C55" s="2" t="s">
        <v>385</v>
      </c>
      <c r="D55" s="2" t="s">
        <v>20</v>
      </c>
      <c r="E55" s="2" t="s">
        <v>366</v>
      </c>
      <c r="F55" s="2" t="s">
        <v>386</v>
      </c>
      <c r="G55" s="2" t="s">
        <v>23</v>
      </c>
      <c r="H55" s="2" t="s">
        <v>23</v>
      </c>
      <c r="I55" s="2" t="s">
        <v>88</v>
      </c>
      <c r="J55" s="2" t="s">
        <v>387</v>
      </c>
      <c r="K55" s="2" t="s">
        <v>388</v>
      </c>
      <c r="L55" s="2" t="s">
        <v>389</v>
      </c>
      <c r="M55" s="2" t="s">
        <v>41</v>
      </c>
      <c r="N55" s="2" t="s">
        <v>92</v>
      </c>
      <c r="O55" s="3">
        <v>2</v>
      </c>
      <c r="P55" s="2" t="s">
        <v>30</v>
      </c>
      <c r="Q55" s="2" t="s">
        <v>31</v>
      </c>
    </row>
    <row r="56" spans="1:17" x14ac:dyDescent="0.25">
      <c r="A56" s="2" t="s">
        <v>390</v>
      </c>
      <c r="B56" s="2" t="s">
        <v>372</v>
      </c>
      <c r="C56" s="2" t="s">
        <v>391</v>
      </c>
      <c r="D56" s="2" t="s">
        <v>87</v>
      </c>
      <c r="G56" s="2" t="s">
        <v>23</v>
      </c>
      <c r="H56" s="2" t="s">
        <v>23</v>
      </c>
      <c r="I56" s="2" t="s">
        <v>88</v>
      </c>
      <c r="J56" s="2" t="s">
        <v>392</v>
      </c>
      <c r="K56" s="2" t="s">
        <v>393</v>
      </c>
      <c r="L56" s="2" t="s">
        <v>394</v>
      </c>
      <c r="M56" s="2" t="s">
        <v>48</v>
      </c>
      <c r="N56" s="2" t="s">
        <v>189</v>
      </c>
      <c r="O56" s="3">
        <v>4</v>
      </c>
      <c r="P56" s="2" t="s">
        <v>49</v>
      </c>
      <c r="Q56" s="2" t="s">
        <v>50</v>
      </c>
    </row>
    <row r="57" spans="1:17" x14ac:dyDescent="0.25">
      <c r="A57" s="2" t="s">
        <v>395</v>
      </c>
      <c r="B57" s="2" t="s">
        <v>396</v>
      </c>
      <c r="C57" s="2" t="s">
        <v>397</v>
      </c>
      <c r="D57" s="2" t="s">
        <v>113</v>
      </c>
      <c r="G57" s="2" t="s">
        <v>23</v>
      </c>
      <c r="H57" s="2" t="s">
        <v>23</v>
      </c>
      <c r="I57" s="2" t="s">
        <v>38</v>
      </c>
      <c r="J57" s="2" t="s">
        <v>398</v>
      </c>
      <c r="K57" s="2" t="s">
        <v>399</v>
      </c>
      <c r="L57" s="2" t="s">
        <v>47</v>
      </c>
      <c r="M57" s="2" t="s">
        <v>177</v>
      </c>
      <c r="N57" s="2" t="s">
        <v>29</v>
      </c>
      <c r="O57" s="3">
        <v>3</v>
      </c>
      <c r="P57" s="2" t="s">
        <v>49</v>
      </c>
      <c r="Q57" s="2" t="s">
        <v>116</v>
      </c>
    </row>
    <row r="58" spans="1:17" x14ac:dyDescent="0.25">
      <c r="A58" s="2" t="s">
        <v>400</v>
      </c>
      <c r="B58" s="2" t="s">
        <v>21</v>
      </c>
      <c r="C58" s="2" t="s">
        <v>401</v>
      </c>
      <c r="D58" s="2" t="s">
        <v>104</v>
      </c>
      <c r="E58" s="2" t="s">
        <v>96</v>
      </c>
      <c r="F58" s="2" t="s">
        <v>402</v>
      </c>
      <c r="G58" s="2" t="s">
        <v>23</v>
      </c>
      <c r="H58" s="2" t="s">
        <v>23</v>
      </c>
      <c r="I58" s="2" t="s">
        <v>38</v>
      </c>
      <c r="J58" s="2" t="s">
        <v>403</v>
      </c>
      <c r="K58" s="2" t="s">
        <v>404</v>
      </c>
      <c r="L58" s="2" t="s">
        <v>405</v>
      </c>
      <c r="M58" s="2" t="s">
        <v>28</v>
      </c>
      <c r="N58" s="2" t="s">
        <v>158</v>
      </c>
      <c r="O58" s="3">
        <v>1</v>
      </c>
      <c r="P58" s="2" t="s">
        <v>30</v>
      </c>
      <c r="Q58" s="2" t="s">
        <v>31</v>
      </c>
    </row>
    <row r="59" spans="1:17" x14ac:dyDescent="0.25">
      <c r="A59" s="2" t="s">
        <v>406</v>
      </c>
      <c r="B59" s="2" t="s">
        <v>143</v>
      </c>
      <c r="C59" s="2" t="s">
        <v>407</v>
      </c>
      <c r="D59" s="2" t="s">
        <v>20</v>
      </c>
      <c r="E59" s="2" t="s">
        <v>33</v>
      </c>
      <c r="F59" s="2" t="s">
        <v>408</v>
      </c>
      <c r="G59" s="2" t="s">
        <v>23</v>
      </c>
      <c r="H59" s="2" t="s">
        <v>23</v>
      </c>
      <c r="I59" s="2" t="s">
        <v>24</v>
      </c>
      <c r="J59" s="2" t="s">
        <v>409</v>
      </c>
      <c r="K59" s="2" t="s">
        <v>410</v>
      </c>
      <c r="L59" s="2" t="s">
        <v>411</v>
      </c>
      <c r="M59" s="2" t="s">
        <v>48</v>
      </c>
      <c r="N59" s="2" t="s">
        <v>216</v>
      </c>
      <c r="O59" s="3">
        <v>5</v>
      </c>
      <c r="P59" s="2" t="s">
        <v>30</v>
      </c>
      <c r="Q59" s="2" t="s">
        <v>31</v>
      </c>
    </row>
    <row r="60" spans="1:17" x14ac:dyDescent="0.25">
      <c r="A60" s="2" t="s">
        <v>412</v>
      </c>
      <c r="B60" s="2" t="s">
        <v>413</v>
      </c>
      <c r="C60" s="2" t="s">
        <v>414</v>
      </c>
      <c r="D60" s="2" t="s">
        <v>104</v>
      </c>
      <c r="E60" s="2" t="s">
        <v>372</v>
      </c>
      <c r="F60" s="2" t="s">
        <v>415</v>
      </c>
      <c r="G60" s="2" t="s">
        <v>23</v>
      </c>
      <c r="H60" s="2" t="s">
        <v>23</v>
      </c>
      <c r="I60" s="2" t="s">
        <v>38</v>
      </c>
      <c r="J60" s="2" t="s">
        <v>416</v>
      </c>
      <c r="K60" s="2" t="s">
        <v>417</v>
      </c>
      <c r="L60" s="2" t="s">
        <v>297</v>
      </c>
      <c r="M60" s="2" t="s">
        <v>48</v>
      </c>
      <c r="N60" s="2" t="s">
        <v>285</v>
      </c>
      <c r="O60" s="3">
        <v>6</v>
      </c>
      <c r="P60" s="2" t="s">
        <v>30</v>
      </c>
      <c r="Q60" s="2" t="s">
        <v>31</v>
      </c>
    </row>
    <row r="61" spans="1:17" x14ac:dyDescent="0.25">
      <c r="A61" s="2" t="s">
        <v>418</v>
      </c>
      <c r="B61" s="2" t="s">
        <v>33</v>
      </c>
      <c r="C61" s="2" t="s">
        <v>419</v>
      </c>
      <c r="D61" s="2" t="s">
        <v>44</v>
      </c>
      <c r="E61" s="2" t="s">
        <v>52</v>
      </c>
      <c r="F61" s="2" t="s">
        <v>420</v>
      </c>
      <c r="G61" s="2" t="s">
        <v>23</v>
      </c>
      <c r="H61" s="2" t="s">
        <v>23</v>
      </c>
      <c r="I61" s="2" t="s">
        <v>88</v>
      </c>
      <c r="J61" s="2" t="s">
        <v>421</v>
      </c>
      <c r="K61" s="2" t="s">
        <v>422</v>
      </c>
      <c r="L61" s="2" t="s">
        <v>423</v>
      </c>
      <c r="M61" s="2" t="s">
        <v>28</v>
      </c>
      <c r="N61" s="2" t="s">
        <v>242</v>
      </c>
      <c r="O61" s="3">
        <v>7</v>
      </c>
      <c r="P61" s="2" t="s">
        <v>30</v>
      </c>
      <c r="Q61" s="2" t="s">
        <v>31</v>
      </c>
    </row>
    <row r="62" spans="1:17" x14ac:dyDescent="0.25">
      <c r="A62" s="2" t="s">
        <v>424</v>
      </c>
      <c r="B62" s="2" t="s">
        <v>280</v>
      </c>
      <c r="C62" s="2" t="s">
        <v>425</v>
      </c>
      <c r="D62" s="2" t="s">
        <v>44</v>
      </c>
      <c r="E62" s="2" t="s">
        <v>211</v>
      </c>
      <c r="F62" s="2" t="s">
        <v>426</v>
      </c>
      <c r="G62" s="2" t="s">
        <v>23</v>
      </c>
      <c r="H62" s="2" t="s">
        <v>23</v>
      </c>
      <c r="I62" s="2" t="s">
        <v>38</v>
      </c>
      <c r="J62" s="2" t="s">
        <v>427</v>
      </c>
      <c r="K62" s="2" t="s">
        <v>428</v>
      </c>
      <c r="L62" s="2" t="s">
        <v>411</v>
      </c>
      <c r="M62" s="2" t="s">
        <v>48</v>
      </c>
      <c r="N62" s="2" t="s">
        <v>216</v>
      </c>
      <c r="O62" s="3">
        <v>6</v>
      </c>
      <c r="P62" s="2" t="s">
        <v>30</v>
      </c>
      <c r="Q62" s="2" t="s">
        <v>31</v>
      </c>
    </row>
    <row r="63" spans="1:17" x14ac:dyDescent="0.25">
      <c r="A63" s="2" t="s">
        <v>429</v>
      </c>
      <c r="B63" s="2" t="s">
        <v>36</v>
      </c>
      <c r="C63" s="2" t="s">
        <v>430</v>
      </c>
      <c r="D63" s="2" t="s">
        <v>219</v>
      </c>
      <c r="E63" s="2" t="s">
        <v>102</v>
      </c>
      <c r="F63" s="2" t="s">
        <v>431</v>
      </c>
      <c r="G63" s="2" t="s">
        <v>23</v>
      </c>
      <c r="H63" s="2" t="s">
        <v>23</v>
      </c>
      <c r="I63" s="2" t="s">
        <v>88</v>
      </c>
      <c r="J63" s="2" t="s">
        <v>432</v>
      </c>
      <c r="K63" s="2" t="s">
        <v>433</v>
      </c>
      <c r="L63" s="2" t="s">
        <v>389</v>
      </c>
      <c r="M63" s="2" t="s">
        <v>177</v>
      </c>
      <c r="N63" s="2" t="s">
        <v>92</v>
      </c>
      <c r="O63" s="3">
        <v>3</v>
      </c>
      <c r="P63" s="2" t="s">
        <v>30</v>
      </c>
      <c r="Q63" s="2" t="s">
        <v>31</v>
      </c>
    </row>
    <row r="64" spans="1:17" x14ac:dyDescent="0.25">
      <c r="A64" s="2" t="s">
        <v>434</v>
      </c>
      <c r="B64" s="2" t="s">
        <v>435</v>
      </c>
      <c r="C64" s="2" t="s">
        <v>436</v>
      </c>
      <c r="D64" s="2" t="s">
        <v>113</v>
      </c>
      <c r="G64" s="2" t="s">
        <v>23</v>
      </c>
      <c r="H64" s="2" t="s">
        <v>23</v>
      </c>
      <c r="I64" s="2" t="s">
        <v>88</v>
      </c>
      <c r="J64" s="2" t="s">
        <v>437</v>
      </c>
      <c r="K64" s="2" t="s">
        <v>438</v>
      </c>
      <c r="L64" s="2" t="s">
        <v>439</v>
      </c>
      <c r="M64" s="2" t="s">
        <v>48</v>
      </c>
      <c r="N64" s="2" t="s">
        <v>242</v>
      </c>
      <c r="O64" s="3">
        <v>4</v>
      </c>
      <c r="P64" s="2" t="s">
        <v>30</v>
      </c>
      <c r="Q64" s="2" t="s">
        <v>31</v>
      </c>
    </row>
    <row r="65" spans="1:17" x14ac:dyDescent="0.25">
      <c r="A65" s="2" t="s">
        <v>440</v>
      </c>
      <c r="B65" s="2" t="s">
        <v>441</v>
      </c>
      <c r="C65" s="2" t="s">
        <v>442</v>
      </c>
      <c r="D65" s="2" t="s">
        <v>71</v>
      </c>
      <c r="E65" s="2" t="s">
        <v>267</v>
      </c>
      <c r="F65" s="2" t="s">
        <v>443</v>
      </c>
      <c r="G65" s="2" t="s">
        <v>23</v>
      </c>
      <c r="H65" s="2" t="s">
        <v>23</v>
      </c>
      <c r="I65" s="2" t="s">
        <v>24</v>
      </c>
      <c r="J65" s="2" t="s">
        <v>444</v>
      </c>
      <c r="K65" s="2" t="s">
        <v>445</v>
      </c>
      <c r="L65" s="2" t="s">
        <v>370</v>
      </c>
      <c r="M65" s="2" t="s">
        <v>41</v>
      </c>
      <c r="N65" s="2" t="s">
        <v>29</v>
      </c>
      <c r="O65" s="3">
        <v>1</v>
      </c>
      <c r="P65" s="2" t="s">
        <v>30</v>
      </c>
      <c r="Q65" s="2" t="s">
        <v>31</v>
      </c>
    </row>
    <row r="66" spans="1:17" x14ac:dyDescent="0.25">
      <c r="A66" s="2" t="s">
        <v>446</v>
      </c>
      <c r="B66" s="2" t="s">
        <v>211</v>
      </c>
      <c r="C66" s="2" t="s">
        <v>447</v>
      </c>
      <c r="D66" s="2" t="s">
        <v>35</v>
      </c>
      <c r="E66" s="2" t="s">
        <v>448</v>
      </c>
      <c r="F66" s="2" t="s">
        <v>449</v>
      </c>
      <c r="G66" s="2" t="s">
        <v>23</v>
      </c>
      <c r="H66" s="2" t="s">
        <v>23</v>
      </c>
      <c r="I66" s="2" t="s">
        <v>88</v>
      </c>
      <c r="J66" s="2" t="s">
        <v>450</v>
      </c>
      <c r="K66" s="2" t="s">
        <v>451</v>
      </c>
      <c r="L66" s="2" t="s">
        <v>452</v>
      </c>
      <c r="M66" s="2" t="s">
        <v>41</v>
      </c>
      <c r="N66" s="2" t="s">
        <v>216</v>
      </c>
      <c r="O66" s="3">
        <v>8</v>
      </c>
      <c r="P66" s="2" t="s">
        <v>30</v>
      </c>
      <c r="Q66" s="2" t="s">
        <v>31</v>
      </c>
    </row>
    <row r="67" spans="1:17" x14ac:dyDescent="0.25">
      <c r="A67" s="2" t="s">
        <v>453</v>
      </c>
      <c r="B67" s="2" t="s">
        <v>224</v>
      </c>
      <c r="C67" s="2" t="s">
        <v>454</v>
      </c>
      <c r="D67" s="2" t="s">
        <v>44</v>
      </c>
      <c r="E67" s="2" t="s">
        <v>313</v>
      </c>
      <c r="F67" s="2" t="s">
        <v>455</v>
      </c>
      <c r="G67" s="2" t="s">
        <v>23</v>
      </c>
      <c r="H67" s="2" t="s">
        <v>23</v>
      </c>
      <c r="I67" s="2" t="s">
        <v>88</v>
      </c>
      <c r="J67" s="2" t="s">
        <v>456</v>
      </c>
      <c r="K67" s="2" t="s">
        <v>457</v>
      </c>
      <c r="L67" s="2" t="s">
        <v>188</v>
      </c>
      <c r="M67" s="2" t="s">
        <v>41</v>
      </c>
      <c r="N67" s="2" t="s">
        <v>189</v>
      </c>
      <c r="O67" s="3">
        <v>7</v>
      </c>
      <c r="P67" s="2" t="s">
        <v>30</v>
      </c>
      <c r="Q67" s="2" t="s">
        <v>31</v>
      </c>
    </row>
    <row r="68" spans="1:17" x14ac:dyDescent="0.25">
      <c r="A68" s="2" t="s">
        <v>458</v>
      </c>
      <c r="B68" s="2" t="s">
        <v>21</v>
      </c>
      <c r="C68" s="2" t="s">
        <v>459</v>
      </c>
      <c r="D68" s="2" t="s">
        <v>104</v>
      </c>
      <c r="G68" s="2" t="s">
        <v>23</v>
      </c>
      <c r="H68" s="2" t="s">
        <v>23</v>
      </c>
      <c r="I68" s="2" t="s">
        <v>56</v>
      </c>
      <c r="J68" s="2" t="s">
        <v>460</v>
      </c>
      <c r="K68" s="2" t="s">
        <v>461</v>
      </c>
      <c r="L68" s="2" t="s">
        <v>462</v>
      </c>
      <c r="M68" s="2" t="s">
        <v>28</v>
      </c>
      <c r="N68" s="2" t="s">
        <v>29</v>
      </c>
      <c r="O68" s="3">
        <v>2</v>
      </c>
      <c r="P68" s="2" t="s">
        <v>30</v>
      </c>
      <c r="Q68" s="2" t="s">
        <v>116</v>
      </c>
    </row>
    <row r="69" spans="1:17" x14ac:dyDescent="0.25">
      <c r="A69" s="2" t="s">
        <v>463</v>
      </c>
      <c r="B69" s="2" t="s">
        <v>226</v>
      </c>
      <c r="C69" s="2" t="s">
        <v>464</v>
      </c>
      <c r="D69" s="2" t="s">
        <v>167</v>
      </c>
      <c r="E69" s="2" t="s">
        <v>366</v>
      </c>
      <c r="F69" s="2" t="s">
        <v>465</v>
      </c>
      <c r="G69" s="2" t="s">
        <v>23</v>
      </c>
      <c r="H69" s="2" t="s">
        <v>23</v>
      </c>
      <c r="I69" s="2" t="s">
        <v>38</v>
      </c>
      <c r="J69" s="2" t="s">
        <v>466</v>
      </c>
      <c r="K69" s="2" t="s">
        <v>467</v>
      </c>
      <c r="L69" s="2" t="s">
        <v>468</v>
      </c>
      <c r="M69" s="2" t="s">
        <v>28</v>
      </c>
      <c r="N69" s="2" t="s">
        <v>379</v>
      </c>
      <c r="O69" s="3">
        <v>8</v>
      </c>
      <c r="P69" s="2" t="s">
        <v>30</v>
      </c>
      <c r="Q69" s="2" t="s">
        <v>31</v>
      </c>
    </row>
    <row r="70" spans="1:17" x14ac:dyDescent="0.25">
      <c r="A70" s="2" t="s">
        <v>469</v>
      </c>
      <c r="B70" s="2" t="s">
        <v>120</v>
      </c>
      <c r="C70" s="2" t="s">
        <v>470</v>
      </c>
      <c r="D70" s="2" t="s">
        <v>87</v>
      </c>
      <c r="E70" s="2" t="s">
        <v>141</v>
      </c>
      <c r="F70" s="2" t="s">
        <v>471</v>
      </c>
      <c r="G70" s="2" t="s">
        <v>23</v>
      </c>
      <c r="H70" s="2" t="s">
        <v>23</v>
      </c>
      <c r="I70" s="2" t="s">
        <v>38</v>
      </c>
      <c r="J70" s="2" t="s">
        <v>472</v>
      </c>
      <c r="K70" s="2" t="s">
        <v>473</v>
      </c>
      <c r="L70" s="2" t="s">
        <v>201</v>
      </c>
      <c r="M70" s="2" t="s">
        <v>41</v>
      </c>
      <c r="N70" s="2" t="s">
        <v>158</v>
      </c>
      <c r="O70" s="3">
        <v>8</v>
      </c>
      <c r="P70" s="2" t="s">
        <v>30</v>
      </c>
      <c r="Q70" s="2" t="s">
        <v>31</v>
      </c>
    </row>
    <row r="71" spans="1:17" x14ac:dyDescent="0.25">
      <c r="A71" s="2" t="s">
        <v>474</v>
      </c>
      <c r="B71" s="2" t="s">
        <v>396</v>
      </c>
      <c r="C71" s="2" t="s">
        <v>475</v>
      </c>
      <c r="D71" s="2" t="s">
        <v>87</v>
      </c>
      <c r="E71" s="2" t="s">
        <v>141</v>
      </c>
      <c r="F71" s="2" t="s">
        <v>476</v>
      </c>
      <c r="G71" s="2" t="s">
        <v>23</v>
      </c>
      <c r="H71" s="2" t="s">
        <v>23</v>
      </c>
      <c r="I71" s="2" t="s">
        <v>88</v>
      </c>
      <c r="J71" s="2" t="s">
        <v>477</v>
      </c>
      <c r="K71" s="2" t="s">
        <v>478</v>
      </c>
      <c r="L71" s="2" t="s">
        <v>479</v>
      </c>
      <c r="M71" s="2" t="s">
        <v>28</v>
      </c>
      <c r="N71" s="2" t="s">
        <v>132</v>
      </c>
      <c r="O71" s="3">
        <v>6</v>
      </c>
      <c r="P71" s="2" t="s">
        <v>30</v>
      </c>
      <c r="Q71" s="2" t="s">
        <v>31</v>
      </c>
    </row>
    <row r="72" spans="1:17" x14ac:dyDescent="0.25">
      <c r="A72" s="2" t="s">
        <v>480</v>
      </c>
      <c r="B72" s="2" t="s">
        <v>280</v>
      </c>
      <c r="C72" s="2" t="s">
        <v>481</v>
      </c>
      <c r="D72" s="2" t="s">
        <v>167</v>
      </c>
      <c r="E72" s="2" t="s">
        <v>54</v>
      </c>
      <c r="F72" s="2" t="s">
        <v>482</v>
      </c>
      <c r="G72" s="2" t="s">
        <v>23</v>
      </c>
      <c r="H72" s="2" t="s">
        <v>23</v>
      </c>
      <c r="I72" s="2" t="s">
        <v>38</v>
      </c>
      <c r="J72" s="2" t="s">
        <v>483</v>
      </c>
      <c r="K72" s="2" t="s">
        <v>484</v>
      </c>
      <c r="L72" s="2" t="s">
        <v>485</v>
      </c>
      <c r="M72" s="2" t="s">
        <v>28</v>
      </c>
      <c r="N72" s="2" t="s">
        <v>148</v>
      </c>
      <c r="O72" s="3">
        <v>2</v>
      </c>
      <c r="P72" s="2" t="s">
        <v>30</v>
      </c>
      <c r="Q72" s="2" t="s">
        <v>31</v>
      </c>
    </row>
    <row r="73" spans="1:17" x14ac:dyDescent="0.25">
      <c r="A73" s="2" t="s">
        <v>486</v>
      </c>
      <c r="B73" s="2" t="s">
        <v>63</v>
      </c>
      <c r="C73" s="2" t="s">
        <v>487</v>
      </c>
      <c r="D73" s="2" t="s">
        <v>35</v>
      </c>
      <c r="G73" s="2" t="s">
        <v>23</v>
      </c>
      <c r="H73" s="2" t="s">
        <v>23</v>
      </c>
      <c r="I73" s="2" t="s">
        <v>24</v>
      </c>
      <c r="J73" s="2" t="s">
        <v>488</v>
      </c>
      <c r="K73" s="2" t="s">
        <v>489</v>
      </c>
      <c r="L73" s="2" t="s">
        <v>490</v>
      </c>
      <c r="M73" s="2" t="s">
        <v>28</v>
      </c>
      <c r="N73" s="2" t="s">
        <v>125</v>
      </c>
      <c r="O73" s="3">
        <v>4</v>
      </c>
      <c r="P73" s="2" t="s">
        <v>49</v>
      </c>
      <c r="Q73" s="2" t="s">
        <v>116</v>
      </c>
    </row>
    <row r="74" spans="1:17" x14ac:dyDescent="0.25">
      <c r="A74" s="2" t="s">
        <v>491</v>
      </c>
      <c r="B74" s="2" t="s">
        <v>492</v>
      </c>
      <c r="C74" s="2" t="s">
        <v>493</v>
      </c>
      <c r="D74" s="2" t="s">
        <v>104</v>
      </c>
      <c r="E74" s="2" t="s">
        <v>191</v>
      </c>
      <c r="F74" s="2" t="s">
        <v>494</v>
      </c>
      <c r="G74" s="2" t="s">
        <v>23</v>
      </c>
      <c r="H74" s="2" t="s">
        <v>23</v>
      </c>
      <c r="I74" s="2" t="s">
        <v>24</v>
      </c>
      <c r="J74" s="2" t="s">
        <v>495</v>
      </c>
      <c r="K74" s="2" t="s">
        <v>496</v>
      </c>
      <c r="L74" s="2" t="s">
        <v>490</v>
      </c>
      <c r="M74" s="2" t="s">
        <v>48</v>
      </c>
      <c r="N74" s="2" t="s">
        <v>125</v>
      </c>
      <c r="O74" s="3">
        <v>10</v>
      </c>
      <c r="P74" s="2" t="s">
        <v>30</v>
      </c>
      <c r="Q74" s="2" t="s">
        <v>31</v>
      </c>
    </row>
    <row r="75" spans="1:17" x14ac:dyDescent="0.25">
      <c r="A75" s="2" t="s">
        <v>497</v>
      </c>
      <c r="B75" s="2" t="s">
        <v>36</v>
      </c>
      <c r="C75" s="2" t="s">
        <v>498</v>
      </c>
      <c r="D75" s="2" t="s">
        <v>44</v>
      </c>
      <c r="E75" s="2" t="s">
        <v>211</v>
      </c>
      <c r="F75" s="2" t="s">
        <v>499</v>
      </c>
      <c r="G75" s="2" t="s">
        <v>23</v>
      </c>
      <c r="H75" s="2" t="s">
        <v>23</v>
      </c>
      <c r="I75" s="2" t="s">
        <v>88</v>
      </c>
      <c r="J75" s="2" t="s">
        <v>500</v>
      </c>
      <c r="K75" s="2" t="s">
        <v>501</v>
      </c>
      <c r="L75" s="2" t="s">
        <v>502</v>
      </c>
      <c r="M75" s="2" t="s">
        <v>41</v>
      </c>
      <c r="N75" s="2" t="s">
        <v>242</v>
      </c>
      <c r="O75" s="3">
        <v>8</v>
      </c>
      <c r="P75" s="2" t="s">
        <v>30</v>
      </c>
      <c r="Q75" s="2" t="s">
        <v>31</v>
      </c>
    </row>
    <row r="76" spans="1:17" x14ac:dyDescent="0.25">
      <c r="A76" s="2" t="s">
        <v>503</v>
      </c>
      <c r="B76" s="2" t="s">
        <v>413</v>
      </c>
      <c r="C76" s="2" t="s">
        <v>504</v>
      </c>
      <c r="D76" s="2" t="s">
        <v>44</v>
      </c>
      <c r="G76" s="2" t="s">
        <v>23</v>
      </c>
      <c r="H76" s="2" t="s">
        <v>23</v>
      </c>
      <c r="I76" s="2" t="s">
        <v>56</v>
      </c>
      <c r="J76" s="2" t="s">
        <v>505</v>
      </c>
      <c r="K76" s="2" t="s">
        <v>506</v>
      </c>
      <c r="L76" s="2" t="s">
        <v>27</v>
      </c>
      <c r="M76" s="2" t="s">
        <v>28</v>
      </c>
      <c r="N76" s="2" t="s">
        <v>29</v>
      </c>
      <c r="O76" s="3">
        <v>6</v>
      </c>
      <c r="P76" s="2" t="s">
        <v>49</v>
      </c>
      <c r="Q76" s="2" t="s">
        <v>50</v>
      </c>
    </row>
    <row r="77" spans="1:17" x14ac:dyDescent="0.25">
      <c r="A77" s="2" t="s">
        <v>507</v>
      </c>
      <c r="B77" s="2" t="s">
        <v>127</v>
      </c>
      <c r="C77" s="2" t="s">
        <v>508</v>
      </c>
      <c r="D77" s="2" t="s">
        <v>219</v>
      </c>
      <c r="G77" s="2" t="s">
        <v>23</v>
      </c>
      <c r="H77" s="2" t="s">
        <v>23</v>
      </c>
      <c r="I77" s="2" t="s">
        <v>24</v>
      </c>
      <c r="J77" s="2" t="s">
        <v>509</v>
      </c>
      <c r="K77" s="2" t="s">
        <v>510</v>
      </c>
      <c r="L77" s="2" t="s">
        <v>511</v>
      </c>
      <c r="M77" s="2" t="s">
        <v>28</v>
      </c>
      <c r="N77" s="2" t="s">
        <v>216</v>
      </c>
      <c r="O77" s="3">
        <v>2</v>
      </c>
      <c r="P77" s="2" t="s">
        <v>30</v>
      </c>
      <c r="Q77" s="2" t="s">
        <v>31</v>
      </c>
    </row>
    <row r="78" spans="1:17" x14ac:dyDescent="0.25">
      <c r="A78" s="2" t="s">
        <v>512</v>
      </c>
      <c r="B78" s="2" t="s">
        <v>513</v>
      </c>
      <c r="C78" s="2" t="s">
        <v>514</v>
      </c>
      <c r="D78" s="2" t="s">
        <v>87</v>
      </c>
      <c r="G78" s="2" t="s">
        <v>23</v>
      </c>
      <c r="H78" s="2" t="s">
        <v>23</v>
      </c>
      <c r="I78" s="2" t="s">
        <v>38</v>
      </c>
      <c r="J78" s="2" t="s">
        <v>515</v>
      </c>
      <c r="K78" s="2" t="s">
        <v>516</v>
      </c>
      <c r="L78" s="2" t="s">
        <v>297</v>
      </c>
      <c r="M78" s="2" t="s">
        <v>41</v>
      </c>
      <c r="N78" s="2" t="s">
        <v>285</v>
      </c>
      <c r="O78" s="3">
        <v>3</v>
      </c>
      <c r="P78" s="2" t="s">
        <v>30</v>
      </c>
      <c r="Q78" s="2" t="s">
        <v>31</v>
      </c>
    </row>
    <row r="79" spans="1:17" x14ac:dyDescent="0.25">
      <c r="A79" s="2" t="s">
        <v>517</v>
      </c>
      <c r="B79" s="2" t="s">
        <v>331</v>
      </c>
      <c r="C79" s="2" t="s">
        <v>518</v>
      </c>
      <c r="D79" s="2" t="s">
        <v>87</v>
      </c>
      <c r="E79" s="2" t="s">
        <v>519</v>
      </c>
      <c r="F79" s="2" t="s">
        <v>520</v>
      </c>
      <c r="G79" s="2" t="s">
        <v>23</v>
      </c>
      <c r="H79" s="2" t="s">
        <v>23</v>
      </c>
      <c r="I79" s="2" t="s">
        <v>88</v>
      </c>
      <c r="J79" s="2" t="s">
        <v>521</v>
      </c>
      <c r="K79" s="2" t="s">
        <v>522</v>
      </c>
      <c r="L79" s="2" t="s">
        <v>91</v>
      </c>
      <c r="M79" s="2" t="s">
        <v>177</v>
      </c>
      <c r="N79" s="2" t="s">
        <v>92</v>
      </c>
      <c r="O79" s="3">
        <v>6</v>
      </c>
      <c r="P79" s="2" t="s">
        <v>30</v>
      </c>
      <c r="Q79" s="2" t="s">
        <v>31</v>
      </c>
    </row>
    <row r="80" spans="1:17" x14ac:dyDescent="0.25">
      <c r="A80" s="2" t="s">
        <v>523</v>
      </c>
      <c r="B80" s="2" t="s">
        <v>524</v>
      </c>
      <c r="C80" s="2" t="s">
        <v>525</v>
      </c>
      <c r="D80" s="2" t="s">
        <v>20</v>
      </c>
      <c r="G80" s="2" t="s">
        <v>23</v>
      </c>
      <c r="H80" s="2" t="s">
        <v>23</v>
      </c>
      <c r="I80" s="2" t="s">
        <v>88</v>
      </c>
      <c r="J80" s="2" t="s">
        <v>526</v>
      </c>
      <c r="K80" s="2" t="s">
        <v>527</v>
      </c>
      <c r="L80" s="2" t="s">
        <v>528</v>
      </c>
      <c r="M80" s="2" t="s">
        <v>41</v>
      </c>
      <c r="N80" s="2" t="s">
        <v>189</v>
      </c>
      <c r="O80" s="3">
        <v>4</v>
      </c>
      <c r="P80" s="2" t="s">
        <v>49</v>
      </c>
      <c r="Q80" s="2" t="s">
        <v>116</v>
      </c>
    </row>
    <row r="81" spans="1:17" x14ac:dyDescent="0.25">
      <c r="A81" s="2" t="s">
        <v>529</v>
      </c>
      <c r="B81" s="2" t="s">
        <v>435</v>
      </c>
      <c r="C81" s="2" t="s">
        <v>530</v>
      </c>
      <c r="D81" s="2" t="s">
        <v>20</v>
      </c>
      <c r="E81" s="2" t="s">
        <v>267</v>
      </c>
      <c r="F81" s="2" t="s">
        <v>531</v>
      </c>
      <c r="G81" s="2" t="s">
        <v>23</v>
      </c>
      <c r="H81" s="2" t="s">
        <v>23</v>
      </c>
      <c r="I81" s="2" t="s">
        <v>38</v>
      </c>
      <c r="J81" s="2" t="s">
        <v>532</v>
      </c>
      <c r="K81" s="2" t="s">
        <v>533</v>
      </c>
      <c r="L81" s="2" t="s">
        <v>284</v>
      </c>
      <c r="M81" s="2" t="s">
        <v>48</v>
      </c>
      <c r="N81" s="2" t="s">
        <v>285</v>
      </c>
      <c r="O81" s="3">
        <v>6</v>
      </c>
      <c r="P81" s="2" t="s">
        <v>30</v>
      </c>
      <c r="Q81" s="2" t="s">
        <v>31</v>
      </c>
    </row>
    <row r="82" spans="1:17" x14ac:dyDescent="0.25">
      <c r="A82" s="2" t="s">
        <v>534</v>
      </c>
      <c r="B82" s="2" t="s">
        <v>191</v>
      </c>
      <c r="C82" s="2" t="s">
        <v>535</v>
      </c>
      <c r="D82" s="2" t="s">
        <v>219</v>
      </c>
      <c r="E82" s="2" t="s">
        <v>78</v>
      </c>
      <c r="F82" s="2" t="s">
        <v>536</v>
      </c>
      <c r="G82" s="2" t="s">
        <v>23</v>
      </c>
      <c r="H82" s="2" t="s">
        <v>23</v>
      </c>
      <c r="I82" s="2" t="s">
        <v>88</v>
      </c>
      <c r="J82" s="2" t="s">
        <v>537</v>
      </c>
      <c r="K82" s="2" t="s">
        <v>538</v>
      </c>
      <c r="L82" s="2" t="s">
        <v>539</v>
      </c>
      <c r="M82" s="2" t="s">
        <v>28</v>
      </c>
      <c r="N82" s="2" t="s">
        <v>92</v>
      </c>
      <c r="O82" s="3">
        <v>3</v>
      </c>
      <c r="P82" s="2" t="s">
        <v>30</v>
      </c>
      <c r="Q82" s="2" t="s">
        <v>31</v>
      </c>
    </row>
    <row r="83" spans="1:17" x14ac:dyDescent="0.25">
      <c r="A83" s="2" t="s">
        <v>540</v>
      </c>
      <c r="B83" s="2" t="s">
        <v>233</v>
      </c>
      <c r="C83" s="2" t="s">
        <v>541</v>
      </c>
      <c r="D83" s="2" t="s">
        <v>87</v>
      </c>
      <c r="E83" s="2" t="s">
        <v>513</v>
      </c>
      <c r="F83" s="2" t="s">
        <v>542</v>
      </c>
      <c r="G83" s="2" t="s">
        <v>23</v>
      </c>
      <c r="H83" s="2" t="s">
        <v>23</v>
      </c>
      <c r="I83" s="2" t="s">
        <v>38</v>
      </c>
      <c r="J83" s="2" t="s">
        <v>543</v>
      </c>
      <c r="K83" s="2" t="s">
        <v>544</v>
      </c>
      <c r="L83" s="2" t="s">
        <v>545</v>
      </c>
      <c r="M83" s="2" t="s">
        <v>41</v>
      </c>
      <c r="N83" s="2" t="s">
        <v>158</v>
      </c>
      <c r="O83" s="3">
        <v>8</v>
      </c>
      <c r="P83" s="2" t="s">
        <v>30</v>
      </c>
      <c r="Q83" s="2" t="s">
        <v>31</v>
      </c>
    </row>
    <row r="84" spans="1:17" x14ac:dyDescent="0.25">
      <c r="A84" s="2" t="s">
        <v>546</v>
      </c>
      <c r="B84" s="2" t="s">
        <v>102</v>
      </c>
      <c r="C84" s="2" t="s">
        <v>547</v>
      </c>
      <c r="D84" s="2" t="s">
        <v>20</v>
      </c>
      <c r="E84" s="2" t="s">
        <v>105</v>
      </c>
      <c r="F84" s="2" t="s">
        <v>548</v>
      </c>
      <c r="G84" s="2" t="s">
        <v>23</v>
      </c>
      <c r="H84" s="2" t="s">
        <v>23</v>
      </c>
      <c r="I84" s="2" t="s">
        <v>88</v>
      </c>
      <c r="J84" s="2" t="s">
        <v>549</v>
      </c>
      <c r="K84" s="2" t="s">
        <v>550</v>
      </c>
      <c r="L84" s="2" t="s">
        <v>551</v>
      </c>
      <c r="M84" s="2" t="s">
        <v>177</v>
      </c>
      <c r="N84" s="2" t="s">
        <v>189</v>
      </c>
      <c r="O84" s="3">
        <v>7</v>
      </c>
      <c r="P84" s="2" t="s">
        <v>30</v>
      </c>
      <c r="Q84" s="2" t="s">
        <v>31</v>
      </c>
    </row>
    <row r="85" spans="1:17" x14ac:dyDescent="0.25">
      <c r="A85" s="2" t="s">
        <v>552</v>
      </c>
      <c r="B85" s="2" t="s">
        <v>372</v>
      </c>
      <c r="C85" s="2" t="s">
        <v>553</v>
      </c>
      <c r="D85" s="2" t="s">
        <v>104</v>
      </c>
      <c r="G85" s="2" t="s">
        <v>23</v>
      </c>
      <c r="H85" s="2" t="s">
        <v>23</v>
      </c>
      <c r="I85" s="2" t="s">
        <v>88</v>
      </c>
      <c r="J85" s="2" t="s">
        <v>554</v>
      </c>
      <c r="K85" s="2" t="s">
        <v>555</v>
      </c>
      <c r="L85" s="2" t="s">
        <v>556</v>
      </c>
      <c r="M85" s="2" t="s">
        <v>28</v>
      </c>
      <c r="N85" s="2" t="s">
        <v>92</v>
      </c>
      <c r="O85" s="3">
        <v>6</v>
      </c>
      <c r="P85" s="2" t="s">
        <v>49</v>
      </c>
      <c r="Q85" s="2" t="s">
        <v>50</v>
      </c>
    </row>
    <row r="86" spans="1:17" x14ac:dyDescent="0.25">
      <c r="A86" s="2" t="s">
        <v>557</v>
      </c>
      <c r="B86" s="2" t="s">
        <v>18</v>
      </c>
      <c r="C86" s="2" t="s">
        <v>558</v>
      </c>
      <c r="D86" s="2" t="s">
        <v>167</v>
      </c>
      <c r="E86" s="2" t="s">
        <v>78</v>
      </c>
      <c r="F86" s="2" t="s">
        <v>559</v>
      </c>
      <c r="G86" s="2" t="s">
        <v>23</v>
      </c>
      <c r="H86" s="2" t="s">
        <v>23</v>
      </c>
      <c r="I86" s="2" t="s">
        <v>88</v>
      </c>
      <c r="J86" s="2" t="s">
        <v>560</v>
      </c>
      <c r="K86" s="2" t="s">
        <v>561</v>
      </c>
      <c r="L86" s="2" t="s">
        <v>562</v>
      </c>
      <c r="M86" s="2" t="s">
        <v>48</v>
      </c>
      <c r="N86" s="2" t="s">
        <v>242</v>
      </c>
      <c r="O86" s="3">
        <v>6</v>
      </c>
      <c r="P86" s="2" t="s">
        <v>30</v>
      </c>
      <c r="Q86" s="2" t="s">
        <v>133</v>
      </c>
    </row>
    <row r="87" spans="1:17" x14ac:dyDescent="0.25">
      <c r="A87" s="2" t="s">
        <v>563</v>
      </c>
      <c r="B87" s="2" t="s">
        <v>396</v>
      </c>
      <c r="C87" s="2" t="s">
        <v>530</v>
      </c>
      <c r="D87" s="2" t="s">
        <v>44</v>
      </c>
      <c r="E87" s="2" t="s">
        <v>120</v>
      </c>
      <c r="F87" s="2" t="s">
        <v>564</v>
      </c>
      <c r="G87" s="2" t="s">
        <v>23</v>
      </c>
      <c r="H87" s="2" t="s">
        <v>23</v>
      </c>
      <c r="I87" s="2" t="s">
        <v>56</v>
      </c>
      <c r="J87" s="2" t="s">
        <v>565</v>
      </c>
      <c r="K87" s="2" t="s">
        <v>566</v>
      </c>
      <c r="L87" s="2" t="s">
        <v>567</v>
      </c>
      <c r="M87" s="2" t="s">
        <v>28</v>
      </c>
      <c r="N87" s="2" t="s">
        <v>60</v>
      </c>
      <c r="O87" s="3">
        <v>4</v>
      </c>
      <c r="P87" s="2" t="s">
        <v>30</v>
      </c>
      <c r="Q87" s="2" t="s">
        <v>31</v>
      </c>
    </row>
    <row r="88" spans="1:17" x14ac:dyDescent="0.25">
      <c r="A88" s="2" t="s">
        <v>568</v>
      </c>
      <c r="B88" s="2" t="s">
        <v>120</v>
      </c>
      <c r="C88" s="2" t="s">
        <v>569</v>
      </c>
      <c r="D88" s="2" t="s">
        <v>104</v>
      </c>
      <c r="E88" s="2" t="s">
        <v>364</v>
      </c>
      <c r="F88" s="2" t="s">
        <v>570</v>
      </c>
      <c r="G88" s="2" t="s">
        <v>23</v>
      </c>
      <c r="H88" s="2" t="s">
        <v>23</v>
      </c>
      <c r="I88" s="2" t="s">
        <v>56</v>
      </c>
      <c r="J88" s="2" t="s">
        <v>571</v>
      </c>
      <c r="K88" s="2" t="s">
        <v>572</v>
      </c>
      <c r="L88" s="2" t="s">
        <v>230</v>
      </c>
      <c r="M88" s="2" t="s">
        <v>48</v>
      </c>
      <c r="N88" s="2" t="s">
        <v>29</v>
      </c>
      <c r="O88" s="3">
        <v>8</v>
      </c>
      <c r="P88" s="2" t="s">
        <v>30</v>
      </c>
      <c r="Q88" s="2" t="s">
        <v>31</v>
      </c>
    </row>
    <row r="89" spans="1:17" x14ac:dyDescent="0.25">
      <c r="A89" s="2" t="s">
        <v>573</v>
      </c>
      <c r="B89" s="2" t="s">
        <v>63</v>
      </c>
      <c r="C89" s="2" t="s">
        <v>574</v>
      </c>
      <c r="D89" s="2" t="s">
        <v>20</v>
      </c>
      <c r="E89" s="2" t="s">
        <v>519</v>
      </c>
      <c r="F89" s="2" t="s">
        <v>575</v>
      </c>
      <c r="G89" s="2" t="s">
        <v>23</v>
      </c>
      <c r="H89" s="2" t="s">
        <v>23</v>
      </c>
      <c r="I89" s="2" t="s">
        <v>56</v>
      </c>
      <c r="J89" s="2" t="s">
        <v>576</v>
      </c>
      <c r="K89" s="2" t="s">
        <v>577</v>
      </c>
      <c r="L89" s="2" t="s">
        <v>578</v>
      </c>
      <c r="M89" s="2" t="s">
        <v>177</v>
      </c>
      <c r="N89" s="2" t="s">
        <v>60</v>
      </c>
      <c r="O89" s="3">
        <v>7</v>
      </c>
      <c r="P89" s="2" t="s">
        <v>30</v>
      </c>
      <c r="Q89" s="2" t="s">
        <v>31</v>
      </c>
    </row>
    <row r="90" spans="1:17" x14ac:dyDescent="0.25">
      <c r="A90" s="2" t="s">
        <v>579</v>
      </c>
      <c r="B90" s="2" t="s">
        <v>102</v>
      </c>
      <c r="C90" s="2" t="s">
        <v>580</v>
      </c>
      <c r="D90" s="2" t="s">
        <v>71</v>
      </c>
      <c r="E90" s="2" t="s">
        <v>161</v>
      </c>
      <c r="F90" s="2" t="s">
        <v>581</v>
      </c>
      <c r="G90" s="2" t="s">
        <v>23</v>
      </c>
      <c r="H90" s="2" t="s">
        <v>23</v>
      </c>
      <c r="I90" s="2" t="s">
        <v>38</v>
      </c>
      <c r="J90" s="2" t="s">
        <v>582</v>
      </c>
      <c r="K90" s="2" t="s">
        <v>583</v>
      </c>
      <c r="L90" s="2" t="s">
        <v>584</v>
      </c>
      <c r="M90" s="2" t="s">
        <v>28</v>
      </c>
      <c r="N90" s="2" t="s">
        <v>585</v>
      </c>
      <c r="O90" s="3">
        <v>6</v>
      </c>
      <c r="P90" s="2" t="s">
        <v>30</v>
      </c>
      <c r="Q90" s="2" t="s">
        <v>31</v>
      </c>
    </row>
    <row r="91" spans="1:17" x14ac:dyDescent="0.25">
      <c r="A91" s="2" t="s">
        <v>586</v>
      </c>
      <c r="B91" s="2" t="s">
        <v>52</v>
      </c>
      <c r="C91" s="2" t="s">
        <v>587</v>
      </c>
      <c r="D91" s="2" t="s">
        <v>167</v>
      </c>
      <c r="E91" s="2" t="s">
        <v>197</v>
      </c>
      <c r="F91" s="2" t="s">
        <v>588</v>
      </c>
      <c r="G91" s="2" t="s">
        <v>23</v>
      </c>
      <c r="H91" s="2" t="s">
        <v>23</v>
      </c>
      <c r="I91" s="2" t="s">
        <v>38</v>
      </c>
      <c r="J91" s="2" t="s">
        <v>589</v>
      </c>
      <c r="K91" s="2" t="s">
        <v>590</v>
      </c>
      <c r="L91" s="2" t="s">
        <v>591</v>
      </c>
      <c r="M91" s="2" t="s">
        <v>41</v>
      </c>
      <c r="N91" s="2" t="s">
        <v>585</v>
      </c>
      <c r="O91" s="3">
        <v>7</v>
      </c>
      <c r="P91" s="2" t="s">
        <v>30</v>
      </c>
      <c r="Q91" s="2" t="s">
        <v>31</v>
      </c>
    </row>
    <row r="92" spans="1:17" x14ac:dyDescent="0.25">
      <c r="A92" s="2" t="s">
        <v>592</v>
      </c>
      <c r="B92" s="2" t="s">
        <v>301</v>
      </c>
      <c r="C92" s="2" t="s">
        <v>593</v>
      </c>
      <c r="D92" s="2" t="s">
        <v>167</v>
      </c>
      <c r="G92" s="2" t="s">
        <v>23</v>
      </c>
      <c r="H92" s="2" t="s">
        <v>23</v>
      </c>
      <c r="I92" s="2" t="s">
        <v>38</v>
      </c>
      <c r="J92" s="2" t="s">
        <v>589</v>
      </c>
      <c r="K92" s="2" t="s">
        <v>594</v>
      </c>
      <c r="L92" s="2" t="s">
        <v>462</v>
      </c>
      <c r="M92" s="2" t="s">
        <v>41</v>
      </c>
      <c r="N92" s="2" t="s">
        <v>29</v>
      </c>
      <c r="O92" s="3">
        <v>2</v>
      </c>
      <c r="P92" s="2" t="s">
        <v>49</v>
      </c>
      <c r="Q92" s="2" t="s">
        <v>116</v>
      </c>
    </row>
    <row r="93" spans="1:17" x14ac:dyDescent="0.25">
      <c r="A93" s="2" t="s">
        <v>595</v>
      </c>
      <c r="B93" s="2" t="s">
        <v>596</v>
      </c>
      <c r="C93" s="2" t="s">
        <v>597</v>
      </c>
      <c r="D93" s="2" t="s">
        <v>87</v>
      </c>
      <c r="E93" s="2" t="s">
        <v>343</v>
      </c>
      <c r="F93" s="2" t="s">
        <v>598</v>
      </c>
      <c r="G93" s="2" t="s">
        <v>23</v>
      </c>
      <c r="H93" s="2" t="s">
        <v>23</v>
      </c>
      <c r="I93" s="2" t="s">
        <v>88</v>
      </c>
      <c r="J93" s="2" t="s">
        <v>599</v>
      </c>
      <c r="K93" s="2" t="s">
        <v>600</v>
      </c>
      <c r="L93" s="2" t="s">
        <v>601</v>
      </c>
      <c r="M93" s="2" t="s">
        <v>48</v>
      </c>
      <c r="N93" s="2" t="s">
        <v>242</v>
      </c>
      <c r="O93" s="3">
        <v>7</v>
      </c>
      <c r="P93" s="2" t="s">
        <v>30</v>
      </c>
      <c r="Q93" s="2" t="s">
        <v>31</v>
      </c>
    </row>
    <row r="94" spans="1:17" x14ac:dyDescent="0.25">
      <c r="A94" s="2" t="s">
        <v>602</v>
      </c>
      <c r="B94" s="2" t="s">
        <v>102</v>
      </c>
      <c r="C94" s="2" t="s">
        <v>603</v>
      </c>
      <c r="D94" s="2" t="s">
        <v>44</v>
      </c>
      <c r="E94" s="2" t="s">
        <v>413</v>
      </c>
      <c r="F94" s="2" t="s">
        <v>604</v>
      </c>
      <c r="G94" s="2" t="s">
        <v>23</v>
      </c>
      <c r="H94" s="2" t="s">
        <v>23</v>
      </c>
      <c r="I94" s="2" t="s">
        <v>38</v>
      </c>
      <c r="J94" s="2" t="s">
        <v>605</v>
      </c>
      <c r="K94" s="2" t="s">
        <v>606</v>
      </c>
      <c r="L94" s="2" t="s">
        <v>607</v>
      </c>
      <c r="M94" s="2" t="s">
        <v>28</v>
      </c>
      <c r="N94" s="2" t="s">
        <v>379</v>
      </c>
      <c r="O94" s="3">
        <v>7</v>
      </c>
      <c r="P94" s="2" t="s">
        <v>30</v>
      </c>
      <c r="Q94" s="2" t="s">
        <v>31</v>
      </c>
    </row>
    <row r="95" spans="1:17" x14ac:dyDescent="0.25">
      <c r="A95" s="2" t="s">
        <v>608</v>
      </c>
      <c r="B95" s="2" t="s">
        <v>120</v>
      </c>
      <c r="C95" s="2" t="s">
        <v>609</v>
      </c>
      <c r="D95" s="2" t="s">
        <v>167</v>
      </c>
      <c r="G95" s="2" t="s">
        <v>23</v>
      </c>
      <c r="H95" s="2" t="s">
        <v>23</v>
      </c>
      <c r="I95" s="2" t="s">
        <v>38</v>
      </c>
      <c r="J95" s="2" t="s">
        <v>610</v>
      </c>
      <c r="K95" s="2" t="s">
        <v>611</v>
      </c>
      <c r="L95" s="2" t="s">
        <v>311</v>
      </c>
      <c r="M95" s="2" t="s">
        <v>41</v>
      </c>
      <c r="N95" s="2" t="s">
        <v>158</v>
      </c>
      <c r="O95" s="3">
        <v>6</v>
      </c>
      <c r="P95" s="2" t="s">
        <v>49</v>
      </c>
      <c r="Q95" s="2" t="s">
        <v>133</v>
      </c>
    </row>
    <row r="96" spans="1:17" x14ac:dyDescent="0.25">
      <c r="A96" s="2" t="s">
        <v>612</v>
      </c>
      <c r="B96" s="2" t="s">
        <v>233</v>
      </c>
      <c r="C96" s="2" t="s">
        <v>613</v>
      </c>
      <c r="D96" s="2" t="s">
        <v>87</v>
      </c>
      <c r="E96" s="2" t="s">
        <v>94</v>
      </c>
      <c r="F96" s="2" t="s">
        <v>614</v>
      </c>
      <c r="G96" s="2" t="s">
        <v>23</v>
      </c>
      <c r="H96" s="2" t="s">
        <v>23</v>
      </c>
      <c r="I96" s="2" t="s">
        <v>38</v>
      </c>
      <c r="J96" s="2" t="s">
        <v>615</v>
      </c>
      <c r="K96" s="2" t="s">
        <v>616</v>
      </c>
      <c r="L96" s="2" t="s">
        <v>100</v>
      </c>
      <c r="M96" s="2" t="s">
        <v>41</v>
      </c>
      <c r="N96" s="2" t="s">
        <v>68</v>
      </c>
      <c r="O96" s="3">
        <v>2</v>
      </c>
      <c r="P96" s="2" t="s">
        <v>30</v>
      </c>
      <c r="Q96" s="2" t="s">
        <v>31</v>
      </c>
    </row>
    <row r="97" spans="1:17" x14ac:dyDescent="0.25">
      <c r="A97" s="2" t="s">
        <v>617</v>
      </c>
      <c r="B97" s="2" t="s">
        <v>72</v>
      </c>
      <c r="C97" s="2" t="s">
        <v>618</v>
      </c>
      <c r="D97" s="2" t="s">
        <v>219</v>
      </c>
      <c r="E97" s="2" t="s">
        <v>52</v>
      </c>
      <c r="F97" s="2" t="s">
        <v>619</v>
      </c>
      <c r="G97" s="2" t="s">
        <v>23</v>
      </c>
      <c r="H97" s="2" t="s">
        <v>23</v>
      </c>
      <c r="I97" s="2" t="s">
        <v>38</v>
      </c>
      <c r="J97" s="2" t="s">
        <v>620</v>
      </c>
      <c r="K97" s="2" t="s">
        <v>621</v>
      </c>
      <c r="L97" s="2" t="s">
        <v>622</v>
      </c>
      <c r="M97" s="2" t="s">
        <v>28</v>
      </c>
      <c r="N97" s="2" t="s">
        <v>585</v>
      </c>
      <c r="O97" s="3">
        <v>6</v>
      </c>
      <c r="P97" s="2" t="s">
        <v>30</v>
      </c>
      <c r="Q97" s="2" t="s">
        <v>50</v>
      </c>
    </row>
    <row r="98" spans="1:17" x14ac:dyDescent="0.25">
      <c r="A98" s="2" t="s">
        <v>623</v>
      </c>
      <c r="B98" s="2" t="s">
        <v>524</v>
      </c>
      <c r="C98" s="2" t="s">
        <v>624</v>
      </c>
      <c r="D98" s="2" t="s">
        <v>219</v>
      </c>
      <c r="E98" s="2" t="s">
        <v>135</v>
      </c>
      <c r="F98" s="2" t="s">
        <v>625</v>
      </c>
      <c r="G98" s="2" t="s">
        <v>23</v>
      </c>
      <c r="H98" s="2" t="s">
        <v>23</v>
      </c>
      <c r="I98" s="2" t="s">
        <v>88</v>
      </c>
      <c r="J98" s="2" t="s">
        <v>626</v>
      </c>
      <c r="K98" s="2" t="s">
        <v>627</v>
      </c>
      <c r="L98" s="2" t="s">
        <v>628</v>
      </c>
      <c r="M98" s="2" t="s">
        <v>48</v>
      </c>
      <c r="N98" s="2" t="s">
        <v>92</v>
      </c>
      <c r="O98" s="3">
        <v>1</v>
      </c>
      <c r="P98" s="2" t="s">
        <v>30</v>
      </c>
      <c r="Q98" s="2" t="s">
        <v>31</v>
      </c>
    </row>
    <row r="99" spans="1:17" x14ac:dyDescent="0.25">
      <c r="A99" s="2" t="s">
        <v>629</v>
      </c>
      <c r="B99" s="2" t="s">
        <v>54</v>
      </c>
      <c r="C99" s="2" t="s">
        <v>630</v>
      </c>
      <c r="D99" s="2" t="s">
        <v>113</v>
      </c>
      <c r="G99" s="2" t="s">
        <v>23</v>
      </c>
      <c r="H99" s="2" t="s">
        <v>23</v>
      </c>
      <c r="I99" s="2" t="s">
        <v>88</v>
      </c>
      <c r="J99" s="2" t="s">
        <v>631</v>
      </c>
      <c r="K99" s="2" t="s">
        <v>632</v>
      </c>
      <c r="L99" s="2" t="s">
        <v>633</v>
      </c>
      <c r="M99" s="2" t="s">
        <v>28</v>
      </c>
      <c r="N99" s="2" t="s">
        <v>242</v>
      </c>
      <c r="O99" s="3">
        <v>9</v>
      </c>
      <c r="P99" s="2" t="s">
        <v>49</v>
      </c>
      <c r="Q99" s="2" t="s">
        <v>116</v>
      </c>
    </row>
    <row r="100" spans="1:17" x14ac:dyDescent="0.25">
      <c r="A100" s="2" t="s">
        <v>634</v>
      </c>
      <c r="B100" s="2" t="s">
        <v>72</v>
      </c>
      <c r="C100" s="2" t="s">
        <v>635</v>
      </c>
      <c r="D100" s="2" t="s">
        <v>104</v>
      </c>
      <c r="E100" s="2" t="s">
        <v>63</v>
      </c>
      <c r="F100" s="2" t="s">
        <v>636</v>
      </c>
      <c r="G100" s="2" t="s">
        <v>23</v>
      </c>
      <c r="H100" s="2" t="s">
        <v>23</v>
      </c>
      <c r="I100" s="2" t="s">
        <v>38</v>
      </c>
      <c r="J100" s="2" t="s">
        <v>637</v>
      </c>
      <c r="K100" s="2" t="s">
        <v>638</v>
      </c>
      <c r="L100" s="2" t="s">
        <v>639</v>
      </c>
      <c r="M100" s="2" t="s">
        <v>48</v>
      </c>
      <c r="N100" s="2" t="s">
        <v>585</v>
      </c>
      <c r="O100" s="3">
        <v>6</v>
      </c>
      <c r="P100" s="2" t="s">
        <v>30</v>
      </c>
      <c r="Q100" s="2" t="s">
        <v>31</v>
      </c>
    </row>
    <row r="101" spans="1:17" x14ac:dyDescent="0.25">
      <c r="A101" s="2" t="s">
        <v>640</v>
      </c>
      <c r="B101" s="2" t="s">
        <v>143</v>
      </c>
      <c r="C101" s="2" t="s">
        <v>641</v>
      </c>
      <c r="D101" s="2" t="s">
        <v>104</v>
      </c>
      <c r="E101" s="2" t="s">
        <v>191</v>
      </c>
      <c r="F101" s="2" t="s">
        <v>642</v>
      </c>
      <c r="G101" s="2" t="s">
        <v>23</v>
      </c>
      <c r="H101" s="2" t="s">
        <v>23</v>
      </c>
      <c r="I101" s="2" t="s">
        <v>24</v>
      </c>
      <c r="J101" s="2" t="s">
        <v>643</v>
      </c>
      <c r="K101" s="2" t="s">
        <v>644</v>
      </c>
      <c r="L101" s="2" t="s">
        <v>362</v>
      </c>
      <c r="M101" s="2" t="s">
        <v>48</v>
      </c>
      <c r="N101" s="2" t="s">
        <v>125</v>
      </c>
      <c r="O101" s="3">
        <v>1</v>
      </c>
      <c r="P101" s="2" t="s">
        <v>30</v>
      </c>
      <c r="Q101" s="2" t="s">
        <v>31</v>
      </c>
    </row>
    <row r="102" spans="1:17" x14ac:dyDescent="0.25">
      <c r="A102" s="2" t="s">
        <v>645</v>
      </c>
      <c r="B102" s="2" t="s">
        <v>299</v>
      </c>
      <c r="C102" s="2" t="s">
        <v>646</v>
      </c>
      <c r="D102" s="2" t="s">
        <v>113</v>
      </c>
      <c r="E102" s="2" t="s">
        <v>18</v>
      </c>
      <c r="F102" s="2" t="s">
        <v>647</v>
      </c>
      <c r="G102" s="2" t="s">
        <v>23</v>
      </c>
      <c r="H102" s="2" t="s">
        <v>23</v>
      </c>
      <c r="I102" s="2" t="s">
        <v>38</v>
      </c>
      <c r="J102" s="2" t="s">
        <v>648</v>
      </c>
      <c r="K102" s="2" t="s">
        <v>649</v>
      </c>
      <c r="L102" s="2" t="s">
        <v>67</v>
      </c>
      <c r="M102" s="2" t="s">
        <v>177</v>
      </c>
      <c r="N102" s="2" t="s">
        <v>68</v>
      </c>
      <c r="O102" s="3">
        <v>5</v>
      </c>
      <c r="P102" s="2" t="s">
        <v>30</v>
      </c>
      <c r="Q102" s="2" t="s">
        <v>31</v>
      </c>
    </row>
    <row r="103" spans="1:17" x14ac:dyDescent="0.25">
      <c r="A103" s="2" t="s">
        <v>650</v>
      </c>
      <c r="B103" s="2" t="s">
        <v>299</v>
      </c>
      <c r="C103" s="2" t="s">
        <v>651</v>
      </c>
      <c r="D103" s="2" t="s">
        <v>80</v>
      </c>
      <c r="E103" s="2" t="s">
        <v>513</v>
      </c>
      <c r="F103" s="2" t="s">
        <v>652</v>
      </c>
      <c r="G103" s="2" t="s">
        <v>23</v>
      </c>
      <c r="H103" s="2" t="s">
        <v>23</v>
      </c>
      <c r="I103" s="2" t="s">
        <v>24</v>
      </c>
      <c r="J103" s="2" t="s">
        <v>653</v>
      </c>
      <c r="K103" s="2" t="s">
        <v>654</v>
      </c>
      <c r="L103" s="2" t="s">
        <v>655</v>
      </c>
      <c r="M103" s="2" t="s">
        <v>41</v>
      </c>
      <c r="N103" s="2" t="s">
        <v>216</v>
      </c>
      <c r="O103" s="3">
        <v>2</v>
      </c>
      <c r="P103" s="2" t="s">
        <v>30</v>
      </c>
      <c r="Q103" s="2" t="s">
        <v>31</v>
      </c>
    </row>
    <row r="104" spans="1:17" x14ac:dyDescent="0.25">
      <c r="A104" s="2" t="s">
        <v>656</v>
      </c>
      <c r="B104" s="2" t="s">
        <v>435</v>
      </c>
      <c r="C104" s="2" t="s">
        <v>657</v>
      </c>
      <c r="D104" s="2" t="s">
        <v>167</v>
      </c>
      <c r="G104" s="2" t="s">
        <v>23</v>
      </c>
      <c r="H104" s="2" t="s">
        <v>23</v>
      </c>
      <c r="I104" s="2" t="s">
        <v>38</v>
      </c>
      <c r="J104" s="2" t="s">
        <v>658</v>
      </c>
      <c r="K104" s="2" t="s">
        <v>659</v>
      </c>
      <c r="L104" s="2" t="s">
        <v>660</v>
      </c>
      <c r="M104" s="2" t="s">
        <v>28</v>
      </c>
      <c r="N104" s="2" t="s">
        <v>216</v>
      </c>
      <c r="O104" s="3">
        <v>8</v>
      </c>
      <c r="P104" s="2" t="s">
        <v>30</v>
      </c>
      <c r="Q104" s="2" t="s">
        <v>31</v>
      </c>
    </row>
    <row r="105" spans="1:17" x14ac:dyDescent="0.25">
      <c r="A105" s="2" t="s">
        <v>661</v>
      </c>
      <c r="B105" s="2" t="s">
        <v>257</v>
      </c>
      <c r="C105" s="2" t="s">
        <v>662</v>
      </c>
      <c r="D105" s="2" t="s">
        <v>113</v>
      </c>
      <c r="E105" s="2" t="s">
        <v>197</v>
      </c>
      <c r="F105" s="2" t="s">
        <v>663</v>
      </c>
      <c r="G105" s="2" t="s">
        <v>23</v>
      </c>
      <c r="H105" s="2" t="s">
        <v>23</v>
      </c>
      <c r="I105" s="2" t="s">
        <v>88</v>
      </c>
      <c r="J105" s="2" t="s">
        <v>664</v>
      </c>
      <c r="K105" s="2" t="s">
        <v>665</v>
      </c>
      <c r="L105" s="2" t="s">
        <v>389</v>
      </c>
      <c r="M105" s="2" t="s">
        <v>41</v>
      </c>
      <c r="N105" s="2" t="s">
        <v>92</v>
      </c>
      <c r="O105" s="3">
        <v>2</v>
      </c>
      <c r="P105" s="2" t="s">
        <v>30</v>
      </c>
      <c r="Q105" s="2" t="s">
        <v>31</v>
      </c>
    </row>
    <row r="106" spans="1:17" x14ac:dyDescent="0.25">
      <c r="A106" s="2" t="s">
        <v>666</v>
      </c>
      <c r="B106" s="2" t="s">
        <v>257</v>
      </c>
      <c r="C106" s="2" t="s">
        <v>667</v>
      </c>
      <c r="D106" s="2" t="s">
        <v>71</v>
      </c>
      <c r="G106" s="2" t="s">
        <v>23</v>
      </c>
      <c r="H106" s="2" t="s">
        <v>23</v>
      </c>
      <c r="I106" s="2" t="s">
        <v>56</v>
      </c>
      <c r="J106" s="2" t="s">
        <v>668</v>
      </c>
      <c r="K106" s="2" t="s">
        <v>669</v>
      </c>
      <c r="L106" s="2" t="s">
        <v>670</v>
      </c>
      <c r="M106" s="2" t="s">
        <v>177</v>
      </c>
      <c r="N106" s="2" t="s">
        <v>60</v>
      </c>
      <c r="O106" s="3">
        <v>6</v>
      </c>
      <c r="P106" s="2" t="s">
        <v>49</v>
      </c>
      <c r="Q106" s="2" t="s">
        <v>133</v>
      </c>
    </row>
    <row r="107" spans="1:17" x14ac:dyDescent="0.25">
      <c r="A107" s="2" t="s">
        <v>671</v>
      </c>
      <c r="B107" s="2" t="s">
        <v>267</v>
      </c>
      <c r="C107" s="2" t="s">
        <v>672</v>
      </c>
      <c r="D107" s="2" t="s">
        <v>44</v>
      </c>
      <c r="E107" s="2" t="s">
        <v>343</v>
      </c>
      <c r="F107" s="2" t="s">
        <v>673</v>
      </c>
      <c r="G107" s="2" t="s">
        <v>23</v>
      </c>
      <c r="H107" s="2" t="s">
        <v>23</v>
      </c>
      <c r="I107" s="2" t="s">
        <v>56</v>
      </c>
      <c r="J107" s="2" t="s">
        <v>674</v>
      </c>
      <c r="K107" s="2" t="s">
        <v>675</v>
      </c>
      <c r="L107" s="2" t="s">
        <v>346</v>
      </c>
      <c r="M107" s="2" t="s">
        <v>48</v>
      </c>
      <c r="N107" s="2" t="s">
        <v>60</v>
      </c>
      <c r="O107" s="3">
        <v>1</v>
      </c>
      <c r="P107" s="2" t="s">
        <v>30</v>
      </c>
      <c r="Q107" s="2" t="s">
        <v>31</v>
      </c>
    </row>
    <row r="108" spans="1:17" x14ac:dyDescent="0.25">
      <c r="A108" s="2" t="s">
        <v>676</v>
      </c>
      <c r="B108" s="2" t="s">
        <v>118</v>
      </c>
      <c r="C108" s="2" t="s">
        <v>677</v>
      </c>
      <c r="D108" s="2" t="s">
        <v>113</v>
      </c>
      <c r="E108" s="2" t="s">
        <v>120</v>
      </c>
      <c r="F108" s="2" t="s">
        <v>678</v>
      </c>
      <c r="G108" s="2" t="s">
        <v>23</v>
      </c>
      <c r="H108" s="2" t="s">
        <v>23</v>
      </c>
      <c r="I108" s="2" t="s">
        <v>88</v>
      </c>
      <c r="J108" s="2" t="s">
        <v>679</v>
      </c>
      <c r="K108" s="2" t="s">
        <v>680</v>
      </c>
      <c r="L108" s="2" t="s">
        <v>91</v>
      </c>
      <c r="M108" s="2" t="s">
        <v>48</v>
      </c>
      <c r="N108" s="2" t="s">
        <v>92</v>
      </c>
      <c r="O108" s="3">
        <v>2</v>
      </c>
      <c r="P108" s="2" t="s">
        <v>30</v>
      </c>
      <c r="Q108" s="2" t="s">
        <v>31</v>
      </c>
    </row>
    <row r="109" spans="1:17" x14ac:dyDescent="0.25">
      <c r="A109" s="2" t="s">
        <v>681</v>
      </c>
      <c r="B109" s="2" t="s">
        <v>78</v>
      </c>
      <c r="C109" s="2" t="s">
        <v>682</v>
      </c>
      <c r="D109" s="2" t="s">
        <v>167</v>
      </c>
      <c r="E109" s="2" t="s">
        <v>52</v>
      </c>
      <c r="F109" s="2" t="s">
        <v>683</v>
      </c>
      <c r="G109" s="2" t="s">
        <v>23</v>
      </c>
      <c r="H109" s="2" t="s">
        <v>23</v>
      </c>
      <c r="I109" s="2" t="s">
        <v>38</v>
      </c>
      <c r="J109" s="2" t="s">
        <v>684</v>
      </c>
      <c r="K109" s="2" t="s">
        <v>685</v>
      </c>
      <c r="L109" s="2" t="s">
        <v>686</v>
      </c>
      <c r="M109" s="2" t="s">
        <v>177</v>
      </c>
      <c r="N109" s="2" t="s">
        <v>216</v>
      </c>
      <c r="O109" s="3">
        <v>5</v>
      </c>
      <c r="P109" s="2" t="s">
        <v>30</v>
      </c>
      <c r="Q109" s="2" t="s">
        <v>50</v>
      </c>
    </row>
    <row r="110" spans="1:17" x14ac:dyDescent="0.25">
      <c r="A110" s="2" t="s">
        <v>687</v>
      </c>
      <c r="B110" s="2" t="s">
        <v>331</v>
      </c>
      <c r="C110" s="2" t="s">
        <v>688</v>
      </c>
      <c r="D110" s="2" t="s">
        <v>104</v>
      </c>
      <c r="E110" s="2" t="s">
        <v>161</v>
      </c>
      <c r="F110" s="2" t="s">
        <v>689</v>
      </c>
      <c r="G110" s="2" t="s">
        <v>23</v>
      </c>
      <c r="H110" s="2" t="s">
        <v>23</v>
      </c>
      <c r="I110" s="2" t="s">
        <v>56</v>
      </c>
      <c r="J110" s="2" t="s">
        <v>690</v>
      </c>
      <c r="K110" s="2" t="s">
        <v>691</v>
      </c>
      <c r="L110" s="2" t="s">
        <v>692</v>
      </c>
      <c r="M110" s="2" t="s">
        <v>177</v>
      </c>
      <c r="N110" s="2" t="s">
        <v>60</v>
      </c>
      <c r="O110" s="3">
        <v>5</v>
      </c>
      <c r="P110" s="2" t="s">
        <v>30</v>
      </c>
      <c r="Q110" s="2" t="s">
        <v>31</v>
      </c>
    </row>
    <row r="111" spans="1:17" x14ac:dyDescent="0.25">
      <c r="A111" s="2" t="s">
        <v>693</v>
      </c>
      <c r="B111" s="2" t="s">
        <v>52</v>
      </c>
      <c r="C111" s="2" t="s">
        <v>694</v>
      </c>
      <c r="D111" s="2" t="s">
        <v>80</v>
      </c>
      <c r="G111" s="2" t="s">
        <v>23</v>
      </c>
      <c r="H111" s="2" t="s">
        <v>23</v>
      </c>
      <c r="I111" s="2" t="s">
        <v>56</v>
      </c>
      <c r="J111" s="2" t="s">
        <v>695</v>
      </c>
      <c r="K111" s="2" t="s">
        <v>696</v>
      </c>
      <c r="L111" s="2" t="s">
        <v>697</v>
      </c>
      <c r="M111" s="2" t="s">
        <v>48</v>
      </c>
      <c r="N111" s="2" t="s">
        <v>60</v>
      </c>
      <c r="O111" s="3">
        <v>9</v>
      </c>
      <c r="P111" s="2" t="s">
        <v>49</v>
      </c>
      <c r="Q111" s="2" t="s">
        <v>50</v>
      </c>
    </row>
    <row r="112" spans="1:17" x14ac:dyDescent="0.25">
      <c r="A112" s="2" t="s">
        <v>698</v>
      </c>
      <c r="B112" s="2" t="s">
        <v>197</v>
      </c>
      <c r="C112" s="2" t="s">
        <v>699</v>
      </c>
      <c r="D112" s="2" t="s">
        <v>104</v>
      </c>
      <c r="E112" s="2" t="s">
        <v>372</v>
      </c>
      <c r="F112" s="2" t="s">
        <v>700</v>
      </c>
      <c r="G112" s="2" t="s">
        <v>23</v>
      </c>
      <c r="H112" s="2" t="s">
        <v>23</v>
      </c>
      <c r="I112" s="2" t="s">
        <v>24</v>
      </c>
      <c r="J112" s="2" t="s">
        <v>701</v>
      </c>
      <c r="K112" s="2" t="s">
        <v>702</v>
      </c>
      <c r="L112" s="2" t="s">
        <v>703</v>
      </c>
      <c r="M112" s="2" t="s">
        <v>48</v>
      </c>
      <c r="N112" s="2" t="s">
        <v>216</v>
      </c>
      <c r="O112" s="3">
        <v>1</v>
      </c>
      <c r="P112" s="2" t="s">
        <v>30</v>
      </c>
      <c r="Q112" s="2" t="s">
        <v>31</v>
      </c>
    </row>
    <row r="113" spans="1:17" x14ac:dyDescent="0.25">
      <c r="A113" s="2" t="s">
        <v>704</v>
      </c>
      <c r="B113" s="2" t="s">
        <v>343</v>
      </c>
      <c r="C113" s="2" t="s">
        <v>705</v>
      </c>
      <c r="D113" s="2" t="s">
        <v>87</v>
      </c>
      <c r="G113" s="2" t="s">
        <v>23</v>
      </c>
      <c r="H113" s="2" t="s">
        <v>23</v>
      </c>
      <c r="I113" s="2" t="s">
        <v>38</v>
      </c>
      <c r="J113" s="2" t="s">
        <v>706</v>
      </c>
      <c r="K113" s="2" t="s">
        <v>707</v>
      </c>
      <c r="L113" s="2" t="s">
        <v>284</v>
      </c>
      <c r="M113" s="2" t="s">
        <v>48</v>
      </c>
      <c r="N113" s="2" t="s">
        <v>285</v>
      </c>
      <c r="O113" s="3">
        <v>2</v>
      </c>
      <c r="P113" s="2" t="s">
        <v>49</v>
      </c>
      <c r="Q113" s="2" t="s">
        <v>133</v>
      </c>
    </row>
    <row r="114" spans="1:17" x14ac:dyDescent="0.25">
      <c r="A114" s="2" t="s">
        <v>708</v>
      </c>
      <c r="B114" s="2" t="s">
        <v>127</v>
      </c>
      <c r="C114" s="2" t="s">
        <v>709</v>
      </c>
      <c r="D114" s="2" t="s">
        <v>167</v>
      </c>
      <c r="G114" s="2" t="s">
        <v>23</v>
      </c>
      <c r="H114" s="2" t="s">
        <v>23</v>
      </c>
      <c r="I114" s="2" t="s">
        <v>88</v>
      </c>
      <c r="J114" s="2" t="s">
        <v>710</v>
      </c>
      <c r="K114" s="2" t="s">
        <v>711</v>
      </c>
      <c r="L114" s="2" t="s">
        <v>703</v>
      </c>
      <c r="M114" s="2" t="s">
        <v>28</v>
      </c>
      <c r="N114" s="2" t="s">
        <v>216</v>
      </c>
      <c r="O114" s="3">
        <v>4</v>
      </c>
      <c r="P114" s="2" t="s">
        <v>30</v>
      </c>
      <c r="Q114" s="2" t="s">
        <v>31</v>
      </c>
    </row>
    <row r="115" spans="1:17" x14ac:dyDescent="0.25">
      <c r="A115" s="2" t="s">
        <v>712</v>
      </c>
      <c r="B115" s="2" t="s">
        <v>143</v>
      </c>
      <c r="C115" s="2" t="s">
        <v>713</v>
      </c>
      <c r="D115" s="2" t="s">
        <v>20</v>
      </c>
      <c r="E115" s="2" t="s">
        <v>255</v>
      </c>
      <c r="F115" s="2" t="s">
        <v>714</v>
      </c>
      <c r="G115" s="2" t="s">
        <v>23</v>
      </c>
      <c r="H115" s="2" t="s">
        <v>23</v>
      </c>
      <c r="I115" s="2" t="s">
        <v>38</v>
      </c>
      <c r="J115" s="2" t="s">
        <v>715</v>
      </c>
      <c r="K115" s="2" t="s">
        <v>716</v>
      </c>
      <c r="L115" s="2" t="s">
        <v>607</v>
      </c>
      <c r="M115" s="2" t="s">
        <v>48</v>
      </c>
      <c r="N115" s="2" t="s">
        <v>379</v>
      </c>
      <c r="O115" s="3">
        <v>1</v>
      </c>
      <c r="P115" s="2" t="s">
        <v>30</v>
      </c>
      <c r="Q115" s="2" t="s">
        <v>31</v>
      </c>
    </row>
    <row r="116" spans="1:17" x14ac:dyDescent="0.25">
      <c r="A116" s="2" t="s">
        <v>717</v>
      </c>
      <c r="B116" s="2" t="s">
        <v>224</v>
      </c>
      <c r="C116" s="2" t="s">
        <v>718</v>
      </c>
      <c r="D116" s="2" t="s">
        <v>87</v>
      </c>
      <c r="G116" s="2" t="s">
        <v>23</v>
      </c>
      <c r="H116" s="2" t="s">
        <v>23</v>
      </c>
      <c r="I116" s="2" t="s">
        <v>88</v>
      </c>
      <c r="J116" s="2" t="s">
        <v>719</v>
      </c>
      <c r="K116" s="2" t="s">
        <v>720</v>
      </c>
      <c r="L116" s="2" t="s">
        <v>721</v>
      </c>
      <c r="M116" s="2" t="s">
        <v>41</v>
      </c>
      <c r="N116" s="2" t="s">
        <v>132</v>
      </c>
      <c r="O116" s="3">
        <v>3</v>
      </c>
      <c r="P116" s="2" t="s">
        <v>49</v>
      </c>
      <c r="Q116" s="2" t="s">
        <v>133</v>
      </c>
    </row>
    <row r="117" spans="1:17" x14ac:dyDescent="0.25">
      <c r="A117" s="2" t="s">
        <v>722</v>
      </c>
      <c r="B117" s="2" t="s">
        <v>172</v>
      </c>
      <c r="C117" s="2" t="s">
        <v>723</v>
      </c>
      <c r="D117" s="2" t="s">
        <v>20</v>
      </c>
      <c r="E117" s="2" t="s">
        <v>33</v>
      </c>
      <c r="F117" s="2" t="s">
        <v>724</v>
      </c>
      <c r="G117" s="2" t="s">
        <v>23</v>
      </c>
      <c r="H117" s="2" t="s">
        <v>23</v>
      </c>
      <c r="I117" s="2" t="s">
        <v>38</v>
      </c>
      <c r="J117" s="2" t="s">
        <v>725</v>
      </c>
      <c r="K117" s="2" t="s">
        <v>726</v>
      </c>
      <c r="L117" s="2" t="s">
        <v>727</v>
      </c>
      <c r="M117" s="2" t="s">
        <v>177</v>
      </c>
      <c r="N117" s="2" t="s">
        <v>158</v>
      </c>
      <c r="O117" s="3">
        <v>9</v>
      </c>
      <c r="P117" s="2" t="s">
        <v>30</v>
      </c>
      <c r="Q117" s="2" t="s">
        <v>31</v>
      </c>
    </row>
    <row r="118" spans="1:17" x14ac:dyDescent="0.25">
      <c r="A118" s="2" t="s">
        <v>728</v>
      </c>
      <c r="B118" s="2" t="s">
        <v>413</v>
      </c>
      <c r="C118" s="2" t="s">
        <v>729</v>
      </c>
      <c r="D118" s="2" t="s">
        <v>104</v>
      </c>
      <c r="E118" s="2" t="s">
        <v>105</v>
      </c>
      <c r="F118" s="2" t="s">
        <v>730</v>
      </c>
      <c r="G118" s="2" t="s">
        <v>23</v>
      </c>
      <c r="H118" s="2" t="s">
        <v>23</v>
      </c>
      <c r="I118" s="2" t="s">
        <v>56</v>
      </c>
      <c r="J118" s="2" t="s">
        <v>731</v>
      </c>
      <c r="K118" s="2" t="s">
        <v>732</v>
      </c>
      <c r="L118" s="2" t="s">
        <v>733</v>
      </c>
      <c r="M118" s="2" t="s">
        <v>177</v>
      </c>
      <c r="N118" s="2" t="s">
        <v>60</v>
      </c>
      <c r="O118" s="3">
        <v>1</v>
      </c>
      <c r="P118" s="2" t="s">
        <v>30</v>
      </c>
      <c r="Q118" s="2" t="s">
        <v>31</v>
      </c>
    </row>
    <row r="119" spans="1:17" x14ac:dyDescent="0.25">
      <c r="A119" s="2" t="s">
        <v>734</v>
      </c>
      <c r="B119" s="2" t="s">
        <v>735</v>
      </c>
      <c r="C119" s="2" t="s">
        <v>736</v>
      </c>
      <c r="D119" s="2" t="s">
        <v>87</v>
      </c>
      <c r="E119" s="2" t="s">
        <v>267</v>
      </c>
      <c r="F119" s="2" t="s">
        <v>737</v>
      </c>
      <c r="G119" s="2" t="s">
        <v>23</v>
      </c>
      <c r="H119" s="2" t="s">
        <v>23</v>
      </c>
      <c r="I119" s="2" t="s">
        <v>88</v>
      </c>
      <c r="J119" s="2" t="s">
        <v>738</v>
      </c>
      <c r="K119" s="2" t="s">
        <v>739</v>
      </c>
      <c r="L119" s="2" t="s">
        <v>188</v>
      </c>
      <c r="M119" s="2" t="s">
        <v>177</v>
      </c>
      <c r="N119" s="2" t="s">
        <v>189</v>
      </c>
      <c r="O119" s="3">
        <v>1</v>
      </c>
      <c r="P119" s="2" t="s">
        <v>30</v>
      </c>
      <c r="Q119" s="2" t="s">
        <v>31</v>
      </c>
    </row>
    <row r="120" spans="1:17" x14ac:dyDescent="0.25">
      <c r="A120" s="2" t="s">
        <v>740</v>
      </c>
      <c r="B120" s="2" t="s">
        <v>111</v>
      </c>
      <c r="C120" s="2" t="s">
        <v>741</v>
      </c>
      <c r="D120" s="2" t="s">
        <v>80</v>
      </c>
      <c r="G120" s="2" t="s">
        <v>23</v>
      </c>
      <c r="H120" s="2" t="s">
        <v>23</v>
      </c>
      <c r="I120" s="2" t="s">
        <v>88</v>
      </c>
      <c r="J120" s="2" t="s">
        <v>742</v>
      </c>
      <c r="K120" s="2" t="s">
        <v>743</v>
      </c>
      <c r="L120" s="2" t="s">
        <v>744</v>
      </c>
      <c r="M120" s="2" t="s">
        <v>28</v>
      </c>
      <c r="N120" s="2" t="s">
        <v>92</v>
      </c>
      <c r="O120" s="3">
        <v>2</v>
      </c>
      <c r="P120" s="2" t="s">
        <v>30</v>
      </c>
      <c r="Q120" s="2" t="s">
        <v>31</v>
      </c>
    </row>
    <row r="121" spans="1:17" x14ac:dyDescent="0.25">
      <c r="A121" s="2" t="s">
        <v>745</v>
      </c>
      <c r="B121" s="2" t="s">
        <v>226</v>
      </c>
      <c r="C121" s="2" t="s">
        <v>746</v>
      </c>
      <c r="D121" s="2" t="s">
        <v>104</v>
      </c>
      <c r="G121" s="2" t="s">
        <v>23</v>
      </c>
      <c r="H121" s="2" t="s">
        <v>23</v>
      </c>
      <c r="I121" s="2" t="s">
        <v>38</v>
      </c>
      <c r="J121" s="2" t="s">
        <v>747</v>
      </c>
      <c r="K121" s="2" t="s">
        <v>748</v>
      </c>
      <c r="L121" s="2" t="s">
        <v>749</v>
      </c>
      <c r="M121" s="2" t="s">
        <v>177</v>
      </c>
      <c r="N121" s="2" t="s">
        <v>158</v>
      </c>
      <c r="O121" s="3">
        <v>7</v>
      </c>
      <c r="P121" s="2" t="s">
        <v>49</v>
      </c>
      <c r="Q121" s="2" t="s">
        <v>116</v>
      </c>
    </row>
    <row r="122" spans="1:17" x14ac:dyDescent="0.25">
      <c r="A122" s="2" t="s">
        <v>750</v>
      </c>
      <c r="B122" s="2" t="s">
        <v>372</v>
      </c>
      <c r="C122" s="2" t="s">
        <v>751</v>
      </c>
      <c r="D122" s="2" t="s">
        <v>80</v>
      </c>
      <c r="E122" s="2" t="s">
        <v>519</v>
      </c>
      <c r="F122" s="2" t="s">
        <v>752</v>
      </c>
      <c r="G122" s="2" t="s">
        <v>23</v>
      </c>
      <c r="H122" s="2" t="s">
        <v>23</v>
      </c>
      <c r="I122" s="2" t="s">
        <v>56</v>
      </c>
      <c r="J122" s="2" t="s">
        <v>753</v>
      </c>
      <c r="K122" s="2" t="s">
        <v>754</v>
      </c>
      <c r="L122" s="2" t="s">
        <v>124</v>
      </c>
      <c r="M122" s="2" t="s">
        <v>28</v>
      </c>
      <c r="N122" s="2" t="s">
        <v>125</v>
      </c>
      <c r="O122" s="3">
        <v>2</v>
      </c>
      <c r="P122" s="2" t="s">
        <v>30</v>
      </c>
      <c r="Q122" s="2" t="s">
        <v>31</v>
      </c>
    </row>
    <row r="123" spans="1:17" x14ac:dyDescent="0.25">
      <c r="A123" s="2" t="s">
        <v>755</v>
      </c>
      <c r="B123" s="2" t="s">
        <v>301</v>
      </c>
      <c r="C123" s="2" t="s">
        <v>756</v>
      </c>
      <c r="D123" s="2" t="s">
        <v>104</v>
      </c>
      <c r="E123" s="2" t="s">
        <v>33</v>
      </c>
      <c r="F123" s="2" t="s">
        <v>757</v>
      </c>
      <c r="G123" s="2" t="s">
        <v>23</v>
      </c>
      <c r="H123" s="2" t="s">
        <v>23</v>
      </c>
      <c r="I123" s="2" t="s">
        <v>88</v>
      </c>
      <c r="J123" s="2" t="s">
        <v>758</v>
      </c>
      <c r="K123" s="2" t="s">
        <v>759</v>
      </c>
      <c r="L123" s="2" t="s">
        <v>633</v>
      </c>
      <c r="M123" s="2" t="s">
        <v>41</v>
      </c>
      <c r="N123" s="2" t="s">
        <v>132</v>
      </c>
      <c r="O123" s="3">
        <v>1</v>
      </c>
      <c r="P123" s="2" t="s">
        <v>30</v>
      </c>
      <c r="Q123" s="2" t="s">
        <v>31</v>
      </c>
    </row>
    <row r="124" spans="1:17" x14ac:dyDescent="0.25">
      <c r="A124" s="2" t="s">
        <v>760</v>
      </c>
      <c r="B124" s="2" t="s">
        <v>63</v>
      </c>
      <c r="C124" s="2" t="s">
        <v>761</v>
      </c>
      <c r="D124" s="2" t="s">
        <v>104</v>
      </c>
      <c r="E124" s="2" t="s">
        <v>105</v>
      </c>
      <c r="F124" s="2" t="s">
        <v>762</v>
      </c>
      <c r="G124" s="2" t="s">
        <v>23</v>
      </c>
      <c r="H124" s="2" t="s">
        <v>23</v>
      </c>
      <c r="I124" s="2" t="s">
        <v>88</v>
      </c>
      <c r="J124" s="2" t="s">
        <v>763</v>
      </c>
      <c r="K124" s="2" t="s">
        <v>764</v>
      </c>
      <c r="L124" s="2" t="s">
        <v>131</v>
      </c>
      <c r="M124" s="2" t="s">
        <v>28</v>
      </c>
      <c r="N124" s="2" t="s">
        <v>132</v>
      </c>
      <c r="O124" s="3">
        <v>4</v>
      </c>
      <c r="P124" s="2" t="s">
        <v>30</v>
      </c>
      <c r="Q124" s="2" t="s">
        <v>31</v>
      </c>
    </row>
    <row r="125" spans="1:17" x14ac:dyDescent="0.25">
      <c r="A125" s="2" t="s">
        <v>765</v>
      </c>
      <c r="B125" s="2" t="s">
        <v>224</v>
      </c>
      <c r="C125" s="2" t="s">
        <v>766</v>
      </c>
      <c r="D125" s="2" t="s">
        <v>104</v>
      </c>
      <c r="E125" s="2" t="s">
        <v>524</v>
      </c>
      <c r="F125" s="2" t="s">
        <v>767</v>
      </c>
      <c r="G125" s="2" t="s">
        <v>23</v>
      </c>
      <c r="H125" s="2" t="s">
        <v>23</v>
      </c>
      <c r="I125" s="2" t="s">
        <v>38</v>
      </c>
      <c r="J125" s="2" t="s">
        <v>768</v>
      </c>
      <c r="K125" s="2" t="s">
        <v>769</v>
      </c>
      <c r="L125" s="2" t="s">
        <v>770</v>
      </c>
      <c r="M125" s="2" t="s">
        <v>41</v>
      </c>
      <c r="N125" s="2" t="s">
        <v>158</v>
      </c>
      <c r="O125" s="3">
        <v>3</v>
      </c>
      <c r="P125" s="2" t="s">
        <v>30</v>
      </c>
      <c r="Q125" s="2" t="s">
        <v>31</v>
      </c>
    </row>
    <row r="126" spans="1:17" x14ac:dyDescent="0.25">
      <c r="A126" s="2" t="s">
        <v>771</v>
      </c>
      <c r="B126" s="2" t="s">
        <v>255</v>
      </c>
      <c r="C126" s="2" t="s">
        <v>772</v>
      </c>
      <c r="D126" s="2" t="s">
        <v>80</v>
      </c>
      <c r="E126" s="2" t="s">
        <v>288</v>
      </c>
      <c r="F126" s="2" t="s">
        <v>773</v>
      </c>
      <c r="G126" s="2" t="s">
        <v>23</v>
      </c>
      <c r="H126" s="2" t="s">
        <v>23</v>
      </c>
      <c r="I126" s="2" t="s">
        <v>38</v>
      </c>
      <c r="J126" s="2" t="s">
        <v>774</v>
      </c>
      <c r="K126" s="2" t="s">
        <v>775</v>
      </c>
      <c r="L126" s="2" t="s">
        <v>607</v>
      </c>
      <c r="M126" s="2" t="s">
        <v>28</v>
      </c>
      <c r="N126" s="2" t="s">
        <v>379</v>
      </c>
      <c r="O126" s="3">
        <v>3</v>
      </c>
      <c r="P126" s="2" t="s">
        <v>30</v>
      </c>
      <c r="Q126" s="2" t="s">
        <v>31</v>
      </c>
    </row>
    <row r="127" spans="1:17" x14ac:dyDescent="0.25">
      <c r="A127" s="2" t="s">
        <v>776</v>
      </c>
      <c r="B127" s="2" t="s">
        <v>18</v>
      </c>
      <c r="C127" s="2" t="s">
        <v>777</v>
      </c>
      <c r="D127" s="2" t="s">
        <v>20</v>
      </c>
      <c r="E127" s="2" t="s">
        <v>143</v>
      </c>
      <c r="F127" s="2" t="s">
        <v>778</v>
      </c>
      <c r="G127" s="2" t="s">
        <v>23</v>
      </c>
      <c r="H127" s="2" t="s">
        <v>23</v>
      </c>
      <c r="I127" s="2" t="s">
        <v>88</v>
      </c>
      <c r="J127" s="2" t="s">
        <v>779</v>
      </c>
      <c r="K127" s="2" t="s">
        <v>780</v>
      </c>
      <c r="L127" s="2" t="s">
        <v>781</v>
      </c>
      <c r="M127" s="2" t="s">
        <v>41</v>
      </c>
      <c r="N127" s="2" t="s">
        <v>189</v>
      </c>
      <c r="O127" s="3">
        <v>1</v>
      </c>
      <c r="P127" s="2" t="s">
        <v>30</v>
      </c>
      <c r="Q127" s="2" t="s">
        <v>31</v>
      </c>
    </row>
    <row r="128" spans="1:17" x14ac:dyDescent="0.25">
      <c r="A128" s="2" t="s">
        <v>782</v>
      </c>
      <c r="B128" s="2" t="s">
        <v>435</v>
      </c>
      <c r="C128" s="2" t="s">
        <v>783</v>
      </c>
      <c r="D128" s="2" t="s">
        <v>35</v>
      </c>
      <c r="E128" s="2" t="s">
        <v>396</v>
      </c>
      <c r="F128" s="2" t="s">
        <v>784</v>
      </c>
      <c r="G128" s="2" t="s">
        <v>23</v>
      </c>
      <c r="H128" s="2" t="s">
        <v>23</v>
      </c>
      <c r="I128" s="2" t="s">
        <v>38</v>
      </c>
      <c r="J128" s="2" t="s">
        <v>785</v>
      </c>
      <c r="K128" s="2" t="s">
        <v>786</v>
      </c>
      <c r="L128" s="2" t="s">
        <v>787</v>
      </c>
      <c r="M128" s="2" t="s">
        <v>177</v>
      </c>
      <c r="N128" s="2" t="s">
        <v>148</v>
      </c>
      <c r="O128" s="3">
        <v>5</v>
      </c>
      <c r="P128" s="2" t="s">
        <v>30</v>
      </c>
      <c r="Q128" s="2" t="s">
        <v>31</v>
      </c>
    </row>
    <row r="129" spans="1:17" x14ac:dyDescent="0.25">
      <c r="A129" s="2" t="s">
        <v>788</v>
      </c>
      <c r="B129" s="2" t="s">
        <v>36</v>
      </c>
      <c r="C129" s="2" t="s">
        <v>789</v>
      </c>
      <c r="D129" s="2" t="s">
        <v>167</v>
      </c>
      <c r="E129" s="2" t="s">
        <v>331</v>
      </c>
      <c r="F129" s="2" t="s">
        <v>790</v>
      </c>
      <c r="G129" s="2" t="s">
        <v>23</v>
      </c>
      <c r="H129" s="2" t="s">
        <v>23</v>
      </c>
      <c r="I129" s="2" t="s">
        <v>88</v>
      </c>
      <c r="J129" s="2" t="s">
        <v>791</v>
      </c>
      <c r="K129" s="2" t="s">
        <v>792</v>
      </c>
      <c r="L129" s="2" t="s">
        <v>793</v>
      </c>
      <c r="M129" s="2" t="s">
        <v>177</v>
      </c>
      <c r="N129" s="2" t="s">
        <v>92</v>
      </c>
      <c r="O129" s="3">
        <v>8</v>
      </c>
      <c r="P129" s="2" t="s">
        <v>30</v>
      </c>
      <c r="Q129" s="2" t="s">
        <v>31</v>
      </c>
    </row>
    <row r="130" spans="1:17" x14ac:dyDescent="0.25">
      <c r="A130" s="2" t="s">
        <v>794</v>
      </c>
      <c r="B130" s="2" t="s">
        <v>143</v>
      </c>
      <c r="C130" s="2" t="s">
        <v>795</v>
      </c>
      <c r="D130" s="2" t="s">
        <v>219</v>
      </c>
      <c r="E130" s="2" t="s">
        <v>94</v>
      </c>
      <c r="F130" s="2" t="s">
        <v>796</v>
      </c>
      <c r="G130" s="2" t="s">
        <v>23</v>
      </c>
      <c r="H130" s="2" t="s">
        <v>23</v>
      </c>
      <c r="I130" s="2" t="s">
        <v>56</v>
      </c>
      <c r="J130" s="2" t="s">
        <v>797</v>
      </c>
      <c r="K130" s="2" t="s">
        <v>798</v>
      </c>
      <c r="L130" s="2" t="s">
        <v>799</v>
      </c>
      <c r="M130" s="2" t="s">
        <v>41</v>
      </c>
      <c r="N130" s="2" t="s">
        <v>585</v>
      </c>
      <c r="O130" s="3">
        <v>6</v>
      </c>
      <c r="P130" s="2" t="s">
        <v>30</v>
      </c>
      <c r="Q130" s="2" t="s">
        <v>31</v>
      </c>
    </row>
    <row r="131" spans="1:17" x14ac:dyDescent="0.25">
      <c r="A131" s="2" t="s">
        <v>800</v>
      </c>
      <c r="B131" s="2" t="s">
        <v>127</v>
      </c>
      <c r="C131" s="2" t="s">
        <v>801</v>
      </c>
      <c r="D131" s="2" t="s">
        <v>35</v>
      </c>
      <c r="E131" s="2" t="s">
        <v>364</v>
      </c>
      <c r="F131" s="2" t="s">
        <v>802</v>
      </c>
      <c r="G131" s="2" t="s">
        <v>23</v>
      </c>
      <c r="H131" s="2" t="s">
        <v>23</v>
      </c>
      <c r="I131" s="2" t="s">
        <v>38</v>
      </c>
      <c r="J131" s="2" t="s">
        <v>803</v>
      </c>
      <c r="K131" s="2" t="s">
        <v>804</v>
      </c>
      <c r="L131" s="2" t="s">
        <v>805</v>
      </c>
      <c r="M131" s="2" t="s">
        <v>28</v>
      </c>
      <c r="N131" s="2" t="s">
        <v>148</v>
      </c>
      <c r="O131" s="3">
        <v>5</v>
      </c>
      <c r="P131" s="2" t="s">
        <v>30</v>
      </c>
      <c r="Q131" s="2" t="s">
        <v>31</v>
      </c>
    </row>
    <row r="132" spans="1:17" x14ac:dyDescent="0.25">
      <c r="A132" s="2" t="s">
        <v>806</v>
      </c>
      <c r="B132" s="2" t="s">
        <v>396</v>
      </c>
      <c r="C132" s="2" t="s">
        <v>807</v>
      </c>
      <c r="D132" s="2" t="s">
        <v>35</v>
      </c>
      <c r="E132" s="2" t="s">
        <v>226</v>
      </c>
      <c r="F132" s="2" t="s">
        <v>808</v>
      </c>
      <c r="G132" s="2" t="s">
        <v>23</v>
      </c>
      <c r="H132" s="2" t="s">
        <v>23</v>
      </c>
      <c r="I132" s="2" t="s">
        <v>88</v>
      </c>
      <c r="J132" s="2" t="s">
        <v>809</v>
      </c>
      <c r="K132" s="2" t="s">
        <v>810</v>
      </c>
      <c r="L132" s="2" t="s">
        <v>811</v>
      </c>
      <c r="M132" s="2" t="s">
        <v>177</v>
      </c>
      <c r="N132" s="2" t="s">
        <v>242</v>
      </c>
      <c r="O132" s="3">
        <v>1</v>
      </c>
      <c r="P132" s="2" t="s">
        <v>30</v>
      </c>
      <c r="Q132" s="2" t="s">
        <v>31</v>
      </c>
    </row>
    <row r="133" spans="1:17" x14ac:dyDescent="0.25">
      <c r="A133" s="2" t="s">
        <v>812</v>
      </c>
      <c r="B133" s="2" t="s">
        <v>813</v>
      </c>
      <c r="C133" s="2" t="s">
        <v>814</v>
      </c>
      <c r="D133" s="2" t="s">
        <v>167</v>
      </c>
      <c r="G133" s="2" t="s">
        <v>23</v>
      </c>
      <c r="H133" s="2" t="s">
        <v>23</v>
      </c>
      <c r="I133" s="2" t="s">
        <v>38</v>
      </c>
      <c r="J133" s="2" t="s">
        <v>815</v>
      </c>
      <c r="K133" s="2" t="s">
        <v>816</v>
      </c>
      <c r="L133" s="2" t="s">
        <v>749</v>
      </c>
      <c r="M133" s="2" t="s">
        <v>48</v>
      </c>
      <c r="N133" s="2" t="s">
        <v>158</v>
      </c>
      <c r="O133" s="3">
        <v>6</v>
      </c>
      <c r="P133" s="2" t="s">
        <v>49</v>
      </c>
      <c r="Q133" s="2" t="s">
        <v>50</v>
      </c>
    </row>
    <row r="134" spans="1:17" x14ac:dyDescent="0.25">
      <c r="A134" s="2" t="s">
        <v>817</v>
      </c>
      <c r="B134" s="2" t="s">
        <v>735</v>
      </c>
      <c r="C134" s="2" t="s">
        <v>818</v>
      </c>
      <c r="D134" s="2" t="s">
        <v>104</v>
      </c>
      <c r="G134" s="2" t="s">
        <v>23</v>
      </c>
      <c r="H134" s="2" t="s">
        <v>23</v>
      </c>
      <c r="I134" s="2" t="s">
        <v>88</v>
      </c>
      <c r="J134" s="2" t="s">
        <v>819</v>
      </c>
      <c r="K134" s="2" t="s">
        <v>820</v>
      </c>
      <c r="L134" s="2" t="s">
        <v>439</v>
      </c>
      <c r="M134" s="2" t="s">
        <v>41</v>
      </c>
      <c r="N134" s="2" t="s">
        <v>242</v>
      </c>
      <c r="O134" s="3">
        <v>5</v>
      </c>
      <c r="P134" s="2" t="s">
        <v>49</v>
      </c>
      <c r="Q134" s="2" t="s">
        <v>50</v>
      </c>
    </row>
    <row r="135" spans="1:17" x14ac:dyDescent="0.25">
      <c r="A135" s="2" t="s">
        <v>821</v>
      </c>
      <c r="B135" s="2" t="s">
        <v>257</v>
      </c>
      <c r="C135" s="2" t="s">
        <v>822</v>
      </c>
      <c r="D135" s="2" t="s">
        <v>35</v>
      </c>
      <c r="G135" s="2" t="s">
        <v>23</v>
      </c>
      <c r="H135" s="2" t="s">
        <v>23</v>
      </c>
      <c r="I135" s="2" t="s">
        <v>88</v>
      </c>
      <c r="J135" s="2" t="s">
        <v>823</v>
      </c>
      <c r="K135" s="2" t="s">
        <v>824</v>
      </c>
      <c r="L135" s="2" t="s">
        <v>721</v>
      </c>
      <c r="M135" s="2" t="s">
        <v>41</v>
      </c>
      <c r="N135" s="2" t="s">
        <v>132</v>
      </c>
      <c r="O135" s="3">
        <v>2</v>
      </c>
      <c r="P135" s="2" t="s">
        <v>49</v>
      </c>
      <c r="Q135" s="2" t="s">
        <v>50</v>
      </c>
    </row>
    <row r="136" spans="1:17" x14ac:dyDescent="0.25">
      <c r="A136" s="2" t="s">
        <v>825</v>
      </c>
      <c r="B136" s="2" t="s">
        <v>52</v>
      </c>
      <c r="C136" s="2" t="s">
        <v>826</v>
      </c>
      <c r="D136" s="2" t="s">
        <v>87</v>
      </c>
      <c r="E136" s="2" t="s">
        <v>63</v>
      </c>
      <c r="F136" s="2" t="s">
        <v>827</v>
      </c>
      <c r="G136" s="2" t="s">
        <v>23</v>
      </c>
      <c r="H136" s="2" t="s">
        <v>23</v>
      </c>
      <c r="I136" s="2" t="s">
        <v>88</v>
      </c>
      <c r="J136" s="2" t="s">
        <v>828</v>
      </c>
      <c r="K136" s="2" t="s">
        <v>829</v>
      </c>
      <c r="L136" s="2" t="s">
        <v>721</v>
      </c>
      <c r="M136" s="2" t="s">
        <v>48</v>
      </c>
      <c r="N136" s="2" t="s">
        <v>132</v>
      </c>
      <c r="O136" s="3">
        <v>1</v>
      </c>
      <c r="P136" s="2" t="s">
        <v>30</v>
      </c>
      <c r="Q136" s="2" t="s">
        <v>31</v>
      </c>
    </row>
    <row r="137" spans="1:17" x14ac:dyDescent="0.25">
      <c r="A137" s="2" t="s">
        <v>830</v>
      </c>
      <c r="B137" s="2" t="s">
        <v>36</v>
      </c>
      <c r="C137" s="2" t="s">
        <v>831</v>
      </c>
      <c r="D137" s="2" t="s">
        <v>35</v>
      </c>
      <c r="E137" s="2" t="s">
        <v>52</v>
      </c>
      <c r="F137" s="2" t="s">
        <v>832</v>
      </c>
      <c r="G137" s="2" t="s">
        <v>23</v>
      </c>
      <c r="H137" s="2" t="s">
        <v>23</v>
      </c>
      <c r="I137" s="2" t="s">
        <v>88</v>
      </c>
      <c r="J137" s="2" t="s">
        <v>828</v>
      </c>
      <c r="K137" s="2" t="s">
        <v>833</v>
      </c>
      <c r="L137" s="2" t="s">
        <v>551</v>
      </c>
      <c r="M137" s="2" t="s">
        <v>177</v>
      </c>
      <c r="N137" s="2" t="s">
        <v>189</v>
      </c>
      <c r="O137" s="3">
        <v>6</v>
      </c>
      <c r="P137" s="2" t="s">
        <v>30</v>
      </c>
      <c r="Q137" s="2" t="s">
        <v>31</v>
      </c>
    </row>
    <row r="138" spans="1:17" x14ac:dyDescent="0.25">
      <c r="A138" s="2" t="s">
        <v>834</v>
      </c>
      <c r="B138" s="2" t="s">
        <v>36</v>
      </c>
      <c r="C138" s="2" t="s">
        <v>835</v>
      </c>
      <c r="D138" s="2" t="s">
        <v>104</v>
      </c>
      <c r="G138" s="2" t="s">
        <v>23</v>
      </c>
      <c r="H138" s="2" t="s">
        <v>23</v>
      </c>
      <c r="I138" s="2" t="s">
        <v>24</v>
      </c>
      <c r="J138" s="2" t="s">
        <v>836</v>
      </c>
      <c r="K138" s="2" t="s">
        <v>837</v>
      </c>
      <c r="L138" s="2" t="s">
        <v>207</v>
      </c>
      <c r="M138" s="2" t="s">
        <v>41</v>
      </c>
      <c r="N138" s="2" t="s">
        <v>125</v>
      </c>
      <c r="O138" s="3">
        <v>7</v>
      </c>
      <c r="P138" s="2" t="s">
        <v>49</v>
      </c>
      <c r="Q138" s="2" t="s">
        <v>116</v>
      </c>
    </row>
    <row r="139" spans="1:17" x14ac:dyDescent="0.25">
      <c r="A139" s="2" t="s">
        <v>838</v>
      </c>
      <c r="B139" s="2" t="s">
        <v>33</v>
      </c>
      <c r="C139" s="2" t="s">
        <v>839</v>
      </c>
      <c r="D139" s="2" t="s">
        <v>80</v>
      </c>
      <c r="G139" s="2" t="s">
        <v>23</v>
      </c>
      <c r="H139" s="2" t="s">
        <v>23</v>
      </c>
      <c r="I139" s="2" t="s">
        <v>38</v>
      </c>
      <c r="J139" s="2" t="s">
        <v>840</v>
      </c>
      <c r="K139" s="2" t="s">
        <v>841</v>
      </c>
      <c r="L139" s="2" t="s">
        <v>248</v>
      </c>
      <c r="M139" s="2" t="s">
        <v>41</v>
      </c>
      <c r="N139" s="2" t="s">
        <v>148</v>
      </c>
      <c r="O139" s="3">
        <v>4</v>
      </c>
      <c r="P139" s="2" t="s">
        <v>49</v>
      </c>
      <c r="Q139" s="2" t="s">
        <v>50</v>
      </c>
    </row>
    <row r="140" spans="1:17" x14ac:dyDescent="0.25">
      <c r="A140" s="2" t="s">
        <v>842</v>
      </c>
      <c r="B140" s="2" t="s">
        <v>18</v>
      </c>
      <c r="C140" s="2" t="s">
        <v>843</v>
      </c>
      <c r="D140" s="2" t="s">
        <v>20</v>
      </c>
      <c r="E140" s="2" t="s">
        <v>21</v>
      </c>
      <c r="F140" s="2" t="s">
        <v>844</v>
      </c>
      <c r="G140" s="2" t="s">
        <v>23</v>
      </c>
      <c r="H140" s="2" t="s">
        <v>23</v>
      </c>
      <c r="I140" s="2" t="s">
        <v>88</v>
      </c>
      <c r="J140" s="2" t="s">
        <v>845</v>
      </c>
      <c r="K140" s="2" t="s">
        <v>846</v>
      </c>
      <c r="L140" s="2" t="s">
        <v>660</v>
      </c>
      <c r="M140" s="2" t="s">
        <v>41</v>
      </c>
      <c r="N140" s="2" t="s">
        <v>216</v>
      </c>
      <c r="O140" s="3">
        <v>7</v>
      </c>
      <c r="P140" s="2" t="s">
        <v>30</v>
      </c>
      <c r="Q140" s="2" t="s">
        <v>31</v>
      </c>
    </row>
    <row r="141" spans="1:17" x14ac:dyDescent="0.25">
      <c r="A141" s="2" t="s">
        <v>847</v>
      </c>
      <c r="B141" s="2" t="s">
        <v>492</v>
      </c>
      <c r="C141" s="2" t="s">
        <v>848</v>
      </c>
      <c r="D141" s="2" t="s">
        <v>167</v>
      </c>
      <c r="E141" s="2" t="s">
        <v>813</v>
      </c>
      <c r="F141" s="2" t="s">
        <v>849</v>
      </c>
      <c r="G141" s="2" t="s">
        <v>23</v>
      </c>
      <c r="H141" s="2" t="s">
        <v>23</v>
      </c>
      <c r="I141" s="2" t="s">
        <v>38</v>
      </c>
      <c r="J141" s="2" t="s">
        <v>850</v>
      </c>
      <c r="K141" s="2" t="s">
        <v>851</v>
      </c>
      <c r="L141" s="2" t="s">
        <v>297</v>
      </c>
      <c r="M141" s="2" t="s">
        <v>28</v>
      </c>
      <c r="N141" s="2" t="s">
        <v>285</v>
      </c>
      <c r="O141" s="3">
        <v>7</v>
      </c>
      <c r="P141" s="2" t="s">
        <v>30</v>
      </c>
      <c r="Q141" s="2" t="s">
        <v>31</v>
      </c>
    </row>
    <row r="142" spans="1:17" x14ac:dyDescent="0.25">
      <c r="A142" s="2" t="s">
        <v>852</v>
      </c>
      <c r="B142" s="2" t="s">
        <v>364</v>
      </c>
      <c r="C142" s="2" t="s">
        <v>853</v>
      </c>
      <c r="D142" s="2" t="s">
        <v>44</v>
      </c>
      <c r="G142" s="2" t="s">
        <v>23</v>
      </c>
      <c r="H142" s="2" t="s">
        <v>23</v>
      </c>
      <c r="I142" s="2" t="s">
        <v>38</v>
      </c>
      <c r="J142" s="2" t="s">
        <v>854</v>
      </c>
      <c r="K142" s="2" t="s">
        <v>855</v>
      </c>
      <c r="L142" s="2" t="s">
        <v>297</v>
      </c>
      <c r="M142" s="2" t="s">
        <v>41</v>
      </c>
      <c r="N142" s="2" t="s">
        <v>285</v>
      </c>
      <c r="O142" s="3">
        <v>1</v>
      </c>
      <c r="P142" s="2" t="s">
        <v>49</v>
      </c>
      <c r="Q142" s="2" t="s">
        <v>50</v>
      </c>
    </row>
    <row r="143" spans="1:17" x14ac:dyDescent="0.25">
      <c r="A143" s="2" t="s">
        <v>856</v>
      </c>
      <c r="B143" s="2" t="s">
        <v>364</v>
      </c>
      <c r="C143" s="2" t="s">
        <v>857</v>
      </c>
      <c r="D143" s="2" t="s">
        <v>104</v>
      </c>
      <c r="E143" s="2" t="s">
        <v>813</v>
      </c>
      <c r="F143" s="2" t="s">
        <v>858</v>
      </c>
      <c r="G143" s="2" t="s">
        <v>23</v>
      </c>
      <c r="H143" s="2" t="s">
        <v>23</v>
      </c>
      <c r="I143" s="2" t="s">
        <v>88</v>
      </c>
      <c r="J143" s="2" t="s">
        <v>859</v>
      </c>
      <c r="K143" s="2" t="s">
        <v>860</v>
      </c>
      <c r="L143" s="2" t="s">
        <v>131</v>
      </c>
      <c r="M143" s="2" t="s">
        <v>48</v>
      </c>
      <c r="N143" s="2" t="s">
        <v>132</v>
      </c>
      <c r="O143" s="3">
        <v>1</v>
      </c>
      <c r="P143" s="2" t="s">
        <v>30</v>
      </c>
      <c r="Q143" s="2" t="s">
        <v>31</v>
      </c>
    </row>
    <row r="144" spans="1:17" x14ac:dyDescent="0.25">
      <c r="A144" s="2" t="s">
        <v>861</v>
      </c>
      <c r="B144" s="2" t="s">
        <v>127</v>
      </c>
      <c r="C144" s="2" t="s">
        <v>862</v>
      </c>
      <c r="D144" s="2" t="s">
        <v>20</v>
      </c>
      <c r="G144" s="2" t="s">
        <v>23</v>
      </c>
      <c r="H144" s="2" t="s">
        <v>23</v>
      </c>
      <c r="I144" s="2" t="s">
        <v>88</v>
      </c>
      <c r="J144" s="2" t="s">
        <v>863</v>
      </c>
      <c r="K144" s="2" t="s">
        <v>864</v>
      </c>
      <c r="L144" s="2" t="s">
        <v>188</v>
      </c>
      <c r="M144" s="2" t="s">
        <v>28</v>
      </c>
      <c r="N144" s="2" t="s">
        <v>189</v>
      </c>
      <c r="O144" s="3">
        <v>1</v>
      </c>
      <c r="P144" s="2" t="s">
        <v>49</v>
      </c>
      <c r="Q144" s="2" t="s">
        <v>50</v>
      </c>
    </row>
    <row r="145" spans="1:17" x14ac:dyDescent="0.25">
      <c r="A145" s="2" t="s">
        <v>865</v>
      </c>
      <c r="B145" s="2" t="s">
        <v>209</v>
      </c>
      <c r="C145" s="2" t="s">
        <v>866</v>
      </c>
      <c r="D145" s="2" t="s">
        <v>104</v>
      </c>
      <c r="E145" s="2" t="s">
        <v>197</v>
      </c>
      <c r="F145" s="2" t="s">
        <v>867</v>
      </c>
      <c r="G145" s="2" t="s">
        <v>23</v>
      </c>
      <c r="H145" s="2" t="s">
        <v>23</v>
      </c>
      <c r="I145" s="2" t="s">
        <v>56</v>
      </c>
      <c r="J145" s="2" t="s">
        <v>868</v>
      </c>
      <c r="K145" s="2" t="s">
        <v>869</v>
      </c>
      <c r="L145" s="2" t="s">
        <v>870</v>
      </c>
      <c r="M145" s="2" t="s">
        <v>41</v>
      </c>
      <c r="N145" s="2" t="s">
        <v>216</v>
      </c>
      <c r="O145" s="3">
        <v>2</v>
      </c>
      <c r="P145" s="2" t="s">
        <v>30</v>
      </c>
      <c r="Q145" s="2" t="s">
        <v>31</v>
      </c>
    </row>
    <row r="146" spans="1:17" x14ac:dyDescent="0.25">
      <c r="A146" s="2" t="s">
        <v>871</v>
      </c>
      <c r="B146" s="2" t="s">
        <v>343</v>
      </c>
      <c r="C146" s="2" t="s">
        <v>872</v>
      </c>
      <c r="D146" s="2" t="s">
        <v>219</v>
      </c>
      <c r="G146" s="2" t="s">
        <v>23</v>
      </c>
      <c r="H146" s="2" t="s">
        <v>23</v>
      </c>
      <c r="I146" s="2" t="s">
        <v>38</v>
      </c>
      <c r="J146" s="2" t="s">
        <v>873</v>
      </c>
      <c r="K146" s="2" t="s">
        <v>874</v>
      </c>
      <c r="L146" s="2" t="s">
        <v>875</v>
      </c>
      <c r="M146" s="2" t="s">
        <v>28</v>
      </c>
      <c r="N146" s="2" t="s">
        <v>585</v>
      </c>
      <c r="O146" s="3">
        <v>3</v>
      </c>
      <c r="P146" s="2" t="s">
        <v>49</v>
      </c>
      <c r="Q146" s="2" t="s">
        <v>50</v>
      </c>
    </row>
    <row r="147" spans="1:17" x14ac:dyDescent="0.25">
      <c r="A147" s="2" t="s">
        <v>876</v>
      </c>
      <c r="B147" s="2" t="s">
        <v>233</v>
      </c>
      <c r="C147" s="2" t="s">
        <v>877</v>
      </c>
      <c r="D147" s="2" t="s">
        <v>80</v>
      </c>
      <c r="E147" s="2" t="s">
        <v>492</v>
      </c>
      <c r="F147" s="2" t="s">
        <v>878</v>
      </c>
      <c r="G147" s="2" t="s">
        <v>23</v>
      </c>
      <c r="H147" s="2" t="s">
        <v>23</v>
      </c>
      <c r="I147" s="2" t="s">
        <v>88</v>
      </c>
      <c r="J147" s="2" t="s">
        <v>879</v>
      </c>
      <c r="K147" s="2" t="s">
        <v>880</v>
      </c>
      <c r="L147" s="2" t="s">
        <v>793</v>
      </c>
      <c r="M147" s="2" t="s">
        <v>177</v>
      </c>
      <c r="N147" s="2" t="s">
        <v>92</v>
      </c>
      <c r="O147" s="3">
        <v>4</v>
      </c>
      <c r="P147" s="2" t="s">
        <v>30</v>
      </c>
      <c r="Q147" s="2" t="s">
        <v>31</v>
      </c>
    </row>
    <row r="148" spans="1:17" x14ac:dyDescent="0.25">
      <c r="A148" s="2" t="s">
        <v>881</v>
      </c>
      <c r="B148" s="2" t="s">
        <v>524</v>
      </c>
      <c r="C148" s="2" t="s">
        <v>882</v>
      </c>
      <c r="D148" s="2" t="s">
        <v>80</v>
      </c>
      <c r="E148" s="2" t="s">
        <v>596</v>
      </c>
      <c r="F148" s="2" t="s">
        <v>883</v>
      </c>
      <c r="G148" s="2" t="s">
        <v>23</v>
      </c>
      <c r="H148" s="2" t="s">
        <v>23</v>
      </c>
      <c r="I148" s="2" t="s">
        <v>38</v>
      </c>
      <c r="J148" s="2" t="s">
        <v>884</v>
      </c>
      <c r="K148" s="2" t="s">
        <v>885</v>
      </c>
      <c r="L148" s="2" t="s">
        <v>886</v>
      </c>
      <c r="M148" s="2" t="s">
        <v>41</v>
      </c>
      <c r="N148" s="2" t="s">
        <v>379</v>
      </c>
      <c r="O148" s="3">
        <v>3</v>
      </c>
      <c r="P148" s="2" t="s">
        <v>30</v>
      </c>
      <c r="Q148" s="2" t="s">
        <v>31</v>
      </c>
    </row>
    <row r="149" spans="1:17" x14ac:dyDescent="0.25">
      <c r="A149" s="2" t="s">
        <v>887</v>
      </c>
      <c r="B149" s="2" t="s">
        <v>366</v>
      </c>
      <c r="C149" s="2" t="s">
        <v>888</v>
      </c>
      <c r="D149" s="2" t="s">
        <v>20</v>
      </c>
      <c r="E149" s="2" t="s">
        <v>813</v>
      </c>
      <c r="F149" s="2" t="s">
        <v>889</v>
      </c>
      <c r="G149" s="2" t="s">
        <v>23</v>
      </c>
      <c r="H149" s="2" t="s">
        <v>23</v>
      </c>
      <c r="I149" s="2" t="s">
        <v>88</v>
      </c>
      <c r="J149" s="2" t="s">
        <v>890</v>
      </c>
      <c r="K149" s="2" t="s">
        <v>891</v>
      </c>
      <c r="L149" s="2" t="s">
        <v>633</v>
      </c>
      <c r="M149" s="2" t="s">
        <v>41</v>
      </c>
      <c r="N149" s="2" t="s">
        <v>132</v>
      </c>
      <c r="O149" s="3">
        <v>4</v>
      </c>
      <c r="P149" s="2" t="s">
        <v>30</v>
      </c>
      <c r="Q149" s="2" t="s">
        <v>31</v>
      </c>
    </row>
    <row r="150" spans="1:17" x14ac:dyDescent="0.25">
      <c r="A150" s="2" t="s">
        <v>892</v>
      </c>
      <c r="B150" s="2" t="s">
        <v>120</v>
      </c>
      <c r="C150" s="2" t="s">
        <v>893</v>
      </c>
      <c r="D150" s="2" t="s">
        <v>104</v>
      </c>
      <c r="E150" s="2" t="s">
        <v>141</v>
      </c>
      <c r="F150" s="2" t="s">
        <v>894</v>
      </c>
      <c r="G150" s="2" t="s">
        <v>23</v>
      </c>
      <c r="H150" s="2" t="s">
        <v>23</v>
      </c>
      <c r="I150" s="2" t="s">
        <v>88</v>
      </c>
      <c r="J150" s="2" t="s">
        <v>895</v>
      </c>
      <c r="K150" s="2" t="s">
        <v>896</v>
      </c>
      <c r="L150" s="2" t="s">
        <v>601</v>
      </c>
      <c r="M150" s="2" t="s">
        <v>48</v>
      </c>
      <c r="N150" s="2" t="s">
        <v>242</v>
      </c>
      <c r="O150" s="3">
        <v>5</v>
      </c>
      <c r="P150" s="2" t="s">
        <v>30</v>
      </c>
      <c r="Q150" s="2" t="s">
        <v>31</v>
      </c>
    </row>
    <row r="151" spans="1:17" x14ac:dyDescent="0.25">
      <c r="A151" s="2" t="s">
        <v>897</v>
      </c>
      <c r="B151" s="2" t="s">
        <v>197</v>
      </c>
      <c r="C151" s="2" t="s">
        <v>898</v>
      </c>
      <c r="D151" s="2" t="s">
        <v>167</v>
      </c>
      <c r="E151" s="2" t="s">
        <v>372</v>
      </c>
      <c r="F151" s="2" t="s">
        <v>899</v>
      </c>
      <c r="G151" s="2" t="s">
        <v>23</v>
      </c>
      <c r="H151" s="2" t="s">
        <v>23</v>
      </c>
      <c r="I151" s="2" t="s">
        <v>88</v>
      </c>
      <c r="J151" s="2" t="s">
        <v>900</v>
      </c>
      <c r="K151" s="2" t="s">
        <v>901</v>
      </c>
      <c r="L151" s="2" t="s">
        <v>633</v>
      </c>
      <c r="M151" s="2" t="s">
        <v>48</v>
      </c>
      <c r="N151" s="2" t="s">
        <v>132</v>
      </c>
      <c r="O151" s="3">
        <v>4</v>
      </c>
      <c r="P151" s="2" t="s">
        <v>30</v>
      </c>
      <c r="Q151" s="2" t="s">
        <v>133</v>
      </c>
    </row>
    <row r="152" spans="1:17" x14ac:dyDescent="0.25">
      <c r="A152" s="2" t="s">
        <v>902</v>
      </c>
      <c r="B152" s="2" t="s">
        <v>120</v>
      </c>
      <c r="C152" s="2" t="s">
        <v>903</v>
      </c>
      <c r="D152" s="2" t="s">
        <v>44</v>
      </c>
      <c r="E152" s="2" t="s">
        <v>172</v>
      </c>
      <c r="F152" s="2" t="s">
        <v>904</v>
      </c>
      <c r="G152" s="2" t="s">
        <v>23</v>
      </c>
      <c r="H152" s="2" t="s">
        <v>23</v>
      </c>
      <c r="I152" s="2" t="s">
        <v>88</v>
      </c>
      <c r="J152" s="2" t="s">
        <v>905</v>
      </c>
      <c r="K152" s="2" t="s">
        <v>906</v>
      </c>
      <c r="L152" s="2" t="s">
        <v>811</v>
      </c>
      <c r="M152" s="2" t="s">
        <v>28</v>
      </c>
      <c r="N152" s="2" t="s">
        <v>242</v>
      </c>
      <c r="O152" s="3">
        <v>5</v>
      </c>
      <c r="P152" s="2" t="s">
        <v>30</v>
      </c>
      <c r="Q152" s="2" t="s">
        <v>31</v>
      </c>
    </row>
    <row r="153" spans="1:17" x14ac:dyDescent="0.25">
      <c r="A153" s="2" t="s">
        <v>907</v>
      </c>
      <c r="B153" s="2" t="s">
        <v>233</v>
      </c>
      <c r="C153" s="2" t="s">
        <v>908</v>
      </c>
      <c r="D153" s="2" t="s">
        <v>113</v>
      </c>
      <c r="E153" s="2" t="s">
        <v>191</v>
      </c>
      <c r="F153" s="2" t="s">
        <v>909</v>
      </c>
      <c r="G153" s="2" t="s">
        <v>23</v>
      </c>
      <c r="H153" s="2" t="s">
        <v>23</v>
      </c>
      <c r="I153" s="2" t="s">
        <v>38</v>
      </c>
      <c r="J153" s="2" t="s">
        <v>910</v>
      </c>
      <c r="K153" s="2" t="s">
        <v>911</v>
      </c>
      <c r="L153" s="2" t="s">
        <v>468</v>
      </c>
      <c r="M153" s="2" t="s">
        <v>41</v>
      </c>
      <c r="N153" s="2" t="s">
        <v>379</v>
      </c>
      <c r="O153" s="3">
        <v>7</v>
      </c>
      <c r="P153" s="2" t="s">
        <v>30</v>
      </c>
      <c r="Q153" s="2" t="s">
        <v>31</v>
      </c>
    </row>
    <row r="154" spans="1:17" x14ac:dyDescent="0.25">
      <c r="A154" s="2" t="s">
        <v>912</v>
      </c>
      <c r="B154" s="2" t="s">
        <v>197</v>
      </c>
      <c r="C154" s="2" t="s">
        <v>913</v>
      </c>
      <c r="D154" s="2" t="s">
        <v>167</v>
      </c>
      <c r="G154" s="2" t="s">
        <v>23</v>
      </c>
      <c r="H154" s="2" t="s">
        <v>23</v>
      </c>
      <c r="I154" s="2" t="s">
        <v>88</v>
      </c>
      <c r="J154" s="2" t="s">
        <v>914</v>
      </c>
      <c r="K154" s="2" t="s">
        <v>915</v>
      </c>
      <c r="L154" s="2" t="s">
        <v>916</v>
      </c>
      <c r="M154" s="2" t="s">
        <v>28</v>
      </c>
      <c r="N154" s="2" t="s">
        <v>189</v>
      </c>
      <c r="O154" s="3">
        <v>5</v>
      </c>
      <c r="P154" s="2" t="s">
        <v>49</v>
      </c>
      <c r="Q154" s="2" t="s">
        <v>50</v>
      </c>
    </row>
    <row r="155" spans="1:17" x14ac:dyDescent="0.25">
      <c r="A155" s="2" t="s">
        <v>917</v>
      </c>
      <c r="B155" s="2" t="s">
        <v>918</v>
      </c>
      <c r="C155" s="2" t="s">
        <v>919</v>
      </c>
      <c r="D155" s="2" t="s">
        <v>80</v>
      </c>
      <c r="E155" s="2" t="s">
        <v>413</v>
      </c>
      <c r="F155" s="2" t="s">
        <v>920</v>
      </c>
      <c r="G155" s="2" t="s">
        <v>23</v>
      </c>
      <c r="H155" s="2" t="s">
        <v>23</v>
      </c>
      <c r="I155" s="2" t="s">
        <v>38</v>
      </c>
      <c r="J155" s="2" t="s">
        <v>921</v>
      </c>
      <c r="K155" s="2" t="s">
        <v>922</v>
      </c>
      <c r="L155" s="2" t="s">
        <v>639</v>
      </c>
      <c r="M155" s="2" t="s">
        <v>28</v>
      </c>
      <c r="N155" s="2" t="s">
        <v>585</v>
      </c>
      <c r="O155" s="3">
        <v>2</v>
      </c>
      <c r="P155" s="2" t="s">
        <v>30</v>
      </c>
      <c r="Q155" s="2" t="s">
        <v>31</v>
      </c>
    </row>
    <row r="156" spans="1:17" x14ac:dyDescent="0.25">
      <c r="A156" s="2" t="s">
        <v>923</v>
      </c>
      <c r="B156" s="2" t="s">
        <v>21</v>
      </c>
      <c r="C156" s="2" t="s">
        <v>924</v>
      </c>
      <c r="G156" s="2" t="s">
        <v>23</v>
      </c>
      <c r="H156" s="2" t="s">
        <v>23</v>
      </c>
      <c r="I156" s="2" t="s">
        <v>88</v>
      </c>
      <c r="J156" s="2" t="s">
        <v>925</v>
      </c>
      <c r="K156" s="2" t="s">
        <v>926</v>
      </c>
      <c r="L156" s="2" t="s">
        <v>721</v>
      </c>
      <c r="M156" s="2" t="s">
        <v>177</v>
      </c>
      <c r="N156" s="2" t="s">
        <v>132</v>
      </c>
      <c r="O156" s="3">
        <v>7</v>
      </c>
      <c r="P156" s="2" t="s">
        <v>49</v>
      </c>
      <c r="Q156" s="2" t="s">
        <v>50</v>
      </c>
    </row>
    <row r="157" spans="1:17" x14ac:dyDescent="0.25">
      <c r="A157" s="2" t="s">
        <v>927</v>
      </c>
      <c r="B157" s="2" t="s">
        <v>172</v>
      </c>
      <c r="C157" s="2" t="s">
        <v>928</v>
      </c>
      <c r="D157" s="2" t="s">
        <v>87</v>
      </c>
      <c r="E157" s="2" t="s">
        <v>813</v>
      </c>
      <c r="F157" s="2" t="s">
        <v>929</v>
      </c>
      <c r="G157" s="2" t="s">
        <v>23</v>
      </c>
      <c r="H157" s="2" t="s">
        <v>23</v>
      </c>
      <c r="I157" s="2" t="s">
        <v>38</v>
      </c>
      <c r="J157" s="2" t="s">
        <v>930</v>
      </c>
      <c r="K157" s="2" t="s">
        <v>931</v>
      </c>
      <c r="L157" s="2" t="s">
        <v>932</v>
      </c>
      <c r="M157" s="2" t="s">
        <v>41</v>
      </c>
      <c r="N157" s="2" t="s">
        <v>379</v>
      </c>
      <c r="O157" s="3">
        <v>8</v>
      </c>
      <c r="P157" s="2" t="s">
        <v>30</v>
      </c>
      <c r="Q157" s="2" t="s">
        <v>31</v>
      </c>
    </row>
    <row r="158" spans="1:17" x14ac:dyDescent="0.25">
      <c r="A158" s="2" t="s">
        <v>933</v>
      </c>
      <c r="B158" s="2" t="s">
        <v>441</v>
      </c>
      <c r="C158" s="2" t="s">
        <v>934</v>
      </c>
      <c r="D158" s="2" t="s">
        <v>219</v>
      </c>
      <c r="E158" s="2" t="s">
        <v>364</v>
      </c>
      <c r="F158" s="2" t="s">
        <v>935</v>
      </c>
      <c r="G158" s="2" t="s">
        <v>23</v>
      </c>
      <c r="H158" s="2" t="s">
        <v>23</v>
      </c>
      <c r="I158" s="2" t="s">
        <v>38</v>
      </c>
      <c r="J158" s="2" t="s">
        <v>936</v>
      </c>
      <c r="K158" s="2" t="s">
        <v>937</v>
      </c>
      <c r="L158" s="2" t="s">
        <v>938</v>
      </c>
      <c r="M158" s="2" t="s">
        <v>177</v>
      </c>
      <c r="N158" s="2" t="s">
        <v>379</v>
      </c>
      <c r="O158" s="3">
        <v>4</v>
      </c>
      <c r="P158" s="2" t="s">
        <v>30</v>
      </c>
      <c r="Q158" s="2" t="s">
        <v>31</v>
      </c>
    </row>
    <row r="159" spans="1:17" x14ac:dyDescent="0.25">
      <c r="A159" s="2" t="s">
        <v>939</v>
      </c>
      <c r="B159" s="2" t="s">
        <v>72</v>
      </c>
      <c r="C159" s="2" t="s">
        <v>940</v>
      </c>
      <c r="D159" s="2" t="s">
        <v>71</v>
      </c>
      <c r="E159" s="2" t="s">
        <v>63</v>
      </c>
      <c r="F159" s="2" t="s">
        <v>941</v>
      </c>
      <c r="G159" s="2" t="s">
        <v>23</v>
      </c>
      <c r="H159" s="2" t="s">
        <v>23</v>
      </c>
      <c r="I159" s="2" t="s">
        <v>88</v>
      </c>
      <c r="J159" s="2" t="s">
        <v>942</v>
      </c>
      <c r="K159" s="2" t="s">
        <v>943</v>
      </c>
      <c r="L159" s="2" t="s">
        <v>781</v>
      </c>
      <c r="M159" s="2" t="s">
        <v>177</v>
      </c>
      <c r="N159" s="2" t="s">
        <v>189</v>
      </c>
      <c r="O159" s="3">
        <v>5</v>
      </c>
      <c r="P159" s="2" t="s">
        <v>30</v>
      </c>
      <c r="Q159" s="2" t="s">
        <v>31</v>
      </c>
    </row>
    <row r="160" spans="1:17" x14ac:dyDescent="0.25">
      <c r="A160" s="2" t="s">
        <v>944</v>
      </c>
      <c r="B160" s="2" t="s">
        <v>63</v>
      </c>
      <c r="C160" s="2" t="s">
        <v>945</v>
      </c>
      <c r="D160" s="2" t="s">
        <v>87</v>
      </c>
      <c r="G160" s="2" t="s">
        <v>23</v>
      </c>
      <c r="H160" s="2" t="s">
        <v>23</v>
      </c>
      <c r="I160" s="2" t="s">
        <v>24</v>
      </c>
      <c r="J160" s="2" t="s">
        <v>946</v>
      </c>
      <c r="K160" s="2" t="s">
        <v>947</v>
      </c>
      <c r="L160" s="2" t="s">
        <v>948</v>
      </c>
      <c r="M160" s="2" t="s">
        <v>48</v>
      </c>
      <c r="N160" s="2" t="s">
        <v>216</v>
      </c>
      <c r="O160" s="3">
        <v>5</v>
      </c>
      <c r="P160" s="2" t="s">
        <v>49</v>
      </c>
      <c r="Q160" s="2" t="s">
        <v>133</v>
      </c>
    </row>
    <row r="161" spans="1:17" x14ac:dyDescent="0.25">
      <c r="A161" s="2" t="s">
        <v>949</v>
      </c>
      <c r="B161" s="2" t="s">
        <v>813</v>
      </c>
      <c r="C161" s="2" t="s">
        <v>950</v>
      </c>
      <c r="D161" s="2" t="s">
        <v>219</v>
      </c>
      <c r="E161" s="2" t="s">
        <v>94</v>
      </c>
      <c r="F161" s="2" t="s">
        <v>951</v>
      </c>
      <c r="G161" s="2" t="s">
        <v>23</v>
      </c>
      <c r="H161" s="2" t="s">
        <v>23</v>
      </c>
      <c r="I161" s="2" t="s">
        <v>38</v>
      </c>
      <c r="J161" s="2" t="s">
        <v>952</v>
      </c>
      <c r="K161" s="2" t="s">
        <v>953</v>
      </c>
      <c r="L161" s="2" t="s">
        <v>954</v>
      </c>
      <c r="M161" s="2" t="s">
        <v>177</v>
      </c>
      <c r="N161" s="2" t="s">
        <v>585</v>
      </c>
      <c r="O161" s="3">
        <v>4</v>
      </c>
      <c r="P161" s="2" t="s">
        <v>30</v>
      </c>
      <c r="Q161" s="2" t="s">
        <v>31</v>
      </c>
    </row>
    <row r="162" spans="1:17" x14ac:dyDescent="0.25">
      <c r="A162" s="2" t="s">
        <v>955</v>
      </c>
      <c r="B162" s="2" t="s">
        <v>513</v>
      </c>
      <c r="C162" s="2" t="s">
        <v>956</v>
      </c>
      <c r="D162" s="2" t="s">
        <v>80</v>
      </c>
      <c r="E162" s="2" t="s">
        <v>33</v>
      </c>
      <c r="F162" s="2" t="s">
        <v>957</v>
      </c>
      <c r="G162" s="2" t="s">
        <v>23</v>
      </c>
      <c r="H162" s="2" t="s">
        <v>23</v>
      </c>
      <c r="I162" s="2" t="s">
        <v>38</v>
      </c>
      <c r="J162" s="2" t="s">
        <v>958</v>
      </c>
      <c r="K162" s="2" t="s">
        <v>959</v>
      </c>
      <c r="L162" s="2" t="s">
        <v>378</v>
      </c>
      <c r="M162" s="2" t="s">
        <v>177</v>
      </c>
      <c r="N162" s="2" t="s">
        <v>379</v>
      </c>
      <c r="O162" s="3">
        <v>7</v>
      </c>
      <c r="P162" s="2" t="s">
        <v>30</v>
      </c>
      <c r="Q162" s="2" t="s">
        <v>31</v>
      </c>
    </row>
    <row r="163" spans="1:17" x14ac:dyDescent="0.25">
      <c r="A163" s="2" t="s">
        <v>960</v>
      </c>
      <c r="B163" s="2" t="s">
        <v>343</v>
      </c>
      <c r="C163" s="2" t="s">
        <v>961</v>
      </c>
      <c r="D163" s="2" t="s">
        <v>104</v>
      </c>
      <c r="E163" s="2" t="s">
        <v>492</v>
      </c>
      <c r="F163" s="2" t="s">
        <v>962</v>
      </c>
      <c r="G163" s="2" t="s">
        <v>23</v>
      </c>
      <c r="H163" s="2" t="s">
        <v>23</v>
      </c>
      <c r="I163" s="2" t="s">
        <v>38</v>
      </c>
      <c r="J163" s="2" t="s">
        <v>963</v>
      </c>
      <c r="K163" s="2" t="s">
        <v>964</v>
      </c>
      <c r="L163" s="2" t="s">
        <v>639</v>
      </c>
      <c r="M163" s="2" t="s">
        <v>48</v>
      </c>
      <c r="N163" s="2" t="s">
        <v>585</v>
      </c>
      <c r="O163" s="3">
        <v>3</v>
      </c>
      <c r="P163" s="2" t="s">
        <v>30</v>
      </c>
      <c r="Q163" s="2" t="s">
        <v>31</v>
      </c>
    </row>
    <row r="164" spans="1:17" x14ac:dyDescent="0.25">
      <c r="A164" s="2" t="s">
        <v>965</v>
      </c>
      <c r="B164" s="2" t="s">
        <v>143</v>
      </c>
      <c r="C164" s="2" t="s">
        <v>966</v>
      </c>
      <c r="D164" s="2" t="s">
        <v>35</v>
      </c>
      <c r="E164" s="2" t="s">
        <v>255</v>
      </c>
      <c r="F164" s="2" t="s">
        <v>967</v>
      </c>
      <c r="G164" s="2" t="s">
        <v>23</v>
      </c>
      <c r="H164" s="2" t="s">
        <v>23</v>
      </c>
      <c r="I164" s="2" t="s">
        <v>88</v>
      </c>
      <c r="J164" s="2" t="s">
        <v>968</v>
      </c>
      <c r="K164" s="2" t="s">
        <v>969</v>
      </c>
      <c r="L164" s="2" t="s">
        <v>970</v>
      </c>
      <c r="M164" s="2" t="s">
        <v>28</v>
      </c>
      <c r="N164" s="2" t="s">
        <v>189</v>
      </c>
      <c r="O164" s="3">
        <v>7</v>
      </c>
      <c r="P164" s="2" t="s">
        <v>30</v>
      </c>
      <c r="Q164" s="2" t="s">
        <v>31</v>
      </c>
    </row>
    <row r="165" spans="1:17" x14ac:dyDescent="0.25">
      <c r="A165" s="2" t="s">
        <v>971</v>
      </c>
      <c r="B165" s="2" t="s">
        <v>331</v>
      </c>
      <c r="C165" s="2" t="s">
        <v>972</v>
      </c>
      <c r="G165" s="2" t="s">
        <v>23</v>
      </c>
      <c r="H165" s="2" t="s">
        <v>23</v>
      </c>
      <c r="I165" s="2" t="s">
        <v>88</v>
      </c>
      <c r="J165" s="2" t="s">
        <v>973</v>
      </c>
      <c r="K165" s="2" t="s">
        <v>974</v>
      </c>
      <c r="L165" s="2" t="s">
        <v>502</v>
      </c>
      <c r="M165" s="2" t="s">
        <v>28</v>
      </c>
      <c r="N165" s="2" t="s">
        <v>242</v>
      </c>
      <c r="O165" s="3">
        <v>1</v>
      </c>
      <c r="P165" s="2" t="s">
        <v>49</v>
      </c>
      <c r="Q165" s="2" t="s">
        <v>50</v>
      </c>
    </row>
    <row r="166" spans="1:17" x14ac:dyDescent="0.25">
      <c r="A166" s="2" t="s">
        <v>975</v>
      </c>
      <c r="B166" s="2" t="s">
        <v>85</v>
      </c>
      <c r="C166" s="2" t="s">
        <v>976</v>
      </c>
      <c r="D166" s="2" t="s">
        <v>20</v>
      </c>
      <c r="E166" s="2" t="s">
        <v>209</v>
      </c>
      <c r="F166" s="2" t="s">
        <v>977</v>
      </c>
      <c r="G166" s="2" t="s">
        <v>23</v>
      </c>
      <c r="H166" s="2" t="s">
        <v>23</v>
      </c>
      <c r="I166" s="2" t="s">
        <v>38</v>
      </c>
      <c r="J166" s="2" t="s">
        <v>978</v>
      </c>
      <c r="K166" s="2" t="s">
        <v>979</v>
      </c>
      <c r="L166" s="2" t="s">
        <v>297</v>
      </c>
      <c r="M166" s="2" t="s">
        <v>28</v>
      </c>
      <c r="N166" s="2" t="s">
        <v>285</v>
      </c>
      <c r="O166" s="3">
        <v>7</v>
      </c>
      <c r="P166" s="2" t="s">
        <v>30</v>
      </c>
      <c r="Q166" s="2" t="s">
        <v>31</v>
      </c>
    </row>
    <row r="167" spans="1:17" x14ac:dyDescent="0.25">
      <c r="A167" s="2" t="s">
        <v>980</v>
      </c>
      <c r="B167" s="2" t="s">
        <v>288</v>
      </c>
      <c r="C167" s="2" t="s">
        <v>981</v>
      </c>
      <c r="D167" s="2" t="s">
        <v>71</v>
      </c>
      <c r="E167" s="2" t="s">
        <v>331</v>
      </c>
      <c r="F167" s="2" t="s">
        <v>982</v>
      </c>
      <c r="G167" s="2" t="s">
        <v>23</v>
      </c>
      <c r="H167" s="2" t="s">
        <v>23</v>
      </c>
      <c r="I167" s="2" t="s">
        <v>38</v>
      </c>
      <c r="J167" s="2" t="s">
        <v>983</v>
      </c>
      <c r="K167" s="2" t="s">
        <v>984</v>
      </c>
      <c r="L167" s="2" t="s">
        <v>297</v>
      </c>
      <c r="M167" s="2" t="s">
        <v>177</v>
      </c>
      <c r="N167" s="2" t="s">
        <v>285</v>
      </c>
      <c r="O167" s="3">
        <v>2</v>
      </c>
      <c r="P167" s="2" t="s">
        <v>30</v>
      </c>
      <c r="Q167" s="2" t="s">
        <v>31</v>
      </c>
    </row>
    <row r="168" spans="1:17" x14ac:dyDescent="0.25">
      <c r="A168" s="2" t="s">
        <v>985</v>
      </c>
      <c r="B168" s="2" t="s">
        <v>299</v>
      </c>
      <c r="C168" s="2" t="s">
        <v>986</v>
      </c>
      <c r="G168" s="2" t="s">
        <v>23</v>
      </c>
      <c r="H168" s="2" t="s">
        <v>23</v>
      </c>
      <c r="I168" s="2" t="s">
        <v>88</v>
      </c>
      <c r="J168" s="2" t="s">
        <v>987</v>
      </c>
      <c r="K168" s="2" t="s">
        <v>988</v>
      </c>
      <c r="L168" s="2" t="s">
        <v>744</v>
      </c>
      <c r="M168" s="2" t="s">
        <v>48</v>
      </c>
      <c r="N168" s="2" t="s">
        <v>92</v>
      </c>
      <c r="O168" s="3">
        <v>3</v>
      </c>
      <c r="P168" s="2" t="s">
        <v>49</v>
      </c>
      <c r="Q168" s="2" t="s">
        <v>116</v>
      </c>
    </row>
    <row r="169" spans="1:17" x14ac:dyDescent="0.25">
      <c r="A169" s="2" t="s">
        <v>989</v>
      </c>
      <c r="B169" s="2" t="s">
        <v>127</v>
      </c>
      <c r="C169" s="2" t="s">
        <v>990</v>
      </c>
      <c r="D169" s="2" t="s">
        <v>44</v>
      </c>
      <c r="E169" s="2" t="s">
        <v>596</v>
      </c>
      <c r="F169" s="2" t="s">
        <v>991</v>
      </c>
      <c r="G169" s="2" t="s">
        <v>23</v>
      </c>
      <c r="H169" s="2" t="s">
        <v>23</v>
      </c>
      <c r="I169" s="2" t="s">
        <v>88</v>
      </c>
      <c r="J169" s="2" t="s">
        <v>992</v>
      </c>
      <c r="K169" s="2" t="s">
        <v>993</v>
      </c>
      <c r="L169" s="2" t="s">
        <v>67</v>
      </c>
      <c r="M169" s="2" t="s">
        <v>48</v>
      </c>
      <c r="N169" s="2" t="s">
        <v>68</v>
      </c>
      <c r="O169" s="3">
        <v>1</v>
      </c>
      <c r="P169" s="2" t="s">
        <v>30</v>
      </c>
      <c r="Q169" s="2" t="s">
        <v>31</v>
      </c>
    </row>
    <row r="170" spans="1:17" x14ac:dyDescent="0.25">
      <c r="A170" s="2" t="s">
        <v>994</v>
      </c>
      <c r="B170" s="2" t="s">
        <v>372</v>
      </c>
      <c r="C170" s="2" t="s">
        <v>995</v>
      </c>
      <c r="D170" s="2" t="s">
        <v>113</v>
      </c>
      <c r="G170" s="2" t="s">
        <v>23</v>
      </c>
      <c r="H170" s="2" t="s">
        <v>23</v>
      </c>
      <c r="I170" s="2" t="s">
        <v>24</v>
      </c>
      <c r="J170" s="2" t="s">
        <v>996</v>
      </c>
      <c r="K170" s="2" t="s">
        <v>997</v>
      </c>
      <c r="L170" s="2" t="s">
        <v>998</v>
      </c>
      <c r="M170" s="2" t="s">
        <v>41</v>
      </c>
      <c r="N170" s="2" t="s">
        <v>29</v>
      </c>
      <c r="O170" s="3">
        <v>3</v>
      </c>
      <c r="P170" s="2" t="s">
        <v>49</v>
      </c>
      <c r="Q170" s="2" t="s">
        <v>133</v>
      </c>
    </row>
    <row r="171" spans="1:17" x14ac:dyDescent="0.25">
      <c r="A171" s="2" t="s">
        <v>999</v>
      </c>
      <c r="B171" s="2" t="s">
        <v>197</v>
      </c>
      <c r="C171" s="2" t="s">
        <v>1000</v>
      </c>
      <c r="D171" s="2" t="s">
        <v>44</v>
      </c>
      <c r="E171" s="2" t="s">
        <v>54</v>
      </c>
      <c r="F171" s="2" t="s">
        <v>1001</v>
      </c>
      <c r="G171" s="2" t="s">
        <v>23</v>
      </c>
      <c r="H171" s="2" t="s">
        <v>23</v>
      </c>
      <c r="I171" s="2" t="s">
        <v>38</v>
      </c>
      <c r="J171" s="2" t="s">
        <v>1002</v>
      </c>
      <c r="K171" s="2" t="s">
        <v>1003</v>
      </c>
      <c r="L171" s="2" t="s">
        <v>297</v>
      </c>
      <c r="M171" s="2" t="s">
        <v>41</v>
      </c>
      <c r="N171" s="2" t="s">
        <v>285</v>
      </c>
      <c r="O171" s="3">
        <v>6</v>
      </c>
      <c r="P171" s="2" t="s">
        <v>30</v>
      </c>
      <c r="Q171" s="2" t="s">
        <v>31</v>
      </c>
    </row>
    <row r="172" spans="1:17" x14ac:dyDescent="0.25">
      <c r="A172" s="2" t="s">
        <v>1004</v>
      </c>
      <c r="B172" s="2" t="s">
        <v>52</v>
      </c>
      <c r="C172" s="2" t="s">
        <v>1005</v>
      </c>
      <c r="D172" s="2" t="s">
        <v>219</v>
      </c>
      <c r="G172" s="2" t="s">
        <v>23</v>
      </c>
      <c r="H172" s="2" t="s">
        <v>23</v>
      </c>
      <c r="I172" s="2" t="s">
        <v>88</v>
      </c>
      <c r="J172" s="2" t="s">
        <v>1006</v>
      </c>
      <c r="K172" s="2" t="s">
        <v>1007</v>
      </c>
      <c r="L172" s="2" t="s">
        <v>1008</v>
      </c>
      <c r="M172" s="2" t="s">
        <v>28</v>
      </c>
      <c r="N172" s="2" t="s">
        <v>189</v>
      </c>
      <c r="O172" s="3">
        <v>4</v>
      </c>
      <c r="P172" s="2" t="s">
        <v>49</v>
      </c>
      <c r="Q172" s="2" t="s">
        <v>133</v>
      </c>
    </row>
    <row r="173" spans="1:17" x14ac:dyDescent="0.25">
      <c r="A173" s="2" t="s">
        <v>1009</v>
      </c>
      <c r="B173" s="2" t="s">
        <v>127</v>
      </c>
      <c r="C173" s="2" t="s">
        <v>1010</v>
      </c>
      <c r="D173" s="2" t="s">
        <v>44</v>
      </c>
      <c r="G173" s="2" t="s">
        <v>23</v>
      </c>
      <c r="H173" s="2" t="s">
        <v>23</v>
      </c>
      <c r="I173" s="2" t="s">
        <v>24</v>
      </c>
      <c r="J173" s="2" t="s">
        <v>1011</v>
      </c>
      <c r="K173" s="2" t="s">
        <v>1012</v>
      </c>
      <c r="L173" s="2" t="s">
        <v>1013</v>
      </c>
      <c r="M173" s="2" t="s">
        <v>177</v>
      </c>
      <c r="N173" s="2" t="s">
        <v>125</v>
      </c>
      <c r="O173" s="3">
        <v>8</v>
      </c>
      <c r="P173" s="2" t="s">
        <v>49</v>
      </c>
      <c r="Q173" s="2" t="s">
        <v>116</v>
      </c>
    </row>
    <row r="174" spans="1:17" x14ac:dyDescent="0.25">
      <c r="A174" s="2" t="s">
        <v>1014</v>
      </c>
      <c r="B174" s="2" t="s">
        <v>233</v>
      </c>
      <c r="C174" s="2" t="s">
        <v>1015</v>
      </c>
      <c r="D174" s="2" t="s">
        <v>219</v>
      </c>
      <c r="E174" s="2" t="s">
        <v>513</v>
      </c>
      <c r="F174" s="2" t="s">
        <v>1016</v>
      </c>
      <c r="G174" s="2" t="s">
        <v>23</v>
      </c>
      <c r="H174" s="2" t="s">
        <v>23</v>
      </c>
      <c r="I174" s="2" t="s">
        <v>88</v>
      </c>
      <c r="J174" s="2" t="s">
        <v>1017</v>
      </c>
      <c r="K174" s="2" t="s">
        <v>1018</v>
      </c>
      <c r="L174" s="2" t="s">
        <v>539</v>
      </c>
      <c r="M174" s="2" t="s">
        <v>28</v>
      </c>
      <c r="N174" s="2" t="s">
        <v>92</v>
      </c>
      <c r="O174" s="3">
        <v>7</v>
      </c>
      <c r="P174" s="2" t="s">
        <v>30</v>
      </c>
      <c r="Q174" s="2" t="s">
        <v>31</v>
      </c>
    </row>
    <row r="175" spans="1:17" x14ac:dyDescent="0.25">
      <c r="A175" s="2" t="s">
        <v>1019</v>
      </c>
      <c r="B175" s="2" t="s">
        <v>172</v>
      </c>
      <c r="C175" s="2" t="s">
        <v>531</v>
      </c>
      <c r="D175" s="2" t="s">
        <v>20</v>
      </c>
      <c r="G175" s="2" t="s">
        <v>23</v>
      </c>
      <c r="H175" s="2" t="s">
        <v>23</v>
      </c>
      <c r="I175" s="2" t="s">
        <v>56</v>
      </c>
      <c r="J175" s="2" t="s">
        <v>1020</v>
      </c>
      <c r="K175" s="2" t="s">
        <v>1021</v>
      </c>
      <c r="L175" s="2" t="s">
        <v>1022</v>
      </c>
      <c r="M175" s="2" t="s">
        <v>177</v>
      </c>
      <c r="N175" s="2" t="s">
        <v>216</v>
      </c>
      <c r="O175" s="3">
        <v>5</v>
      </c>
      <c r="P175" s="2" t="s">
        <v>49</v>
      </c>
      <c r="Q175" s="2" t="s">
        <v>116</v>
      </c>
    </row>
    <row r="176" spans="1:17" x14ac:dyDescent="0.25">
      <c r="A176" s="2" t="s">
        <v>1023</v>
      </c>
      <c r="B176" s="2" t="s">
        <v>331</v>
      </c>
      <c r="C176" s="2" t="s">
        <v>1024</v>
      </c>
      <c r="D176" s="2" t="s">
        <v>113</v>
      </c>
      <c r="G176" s="2" t="s">
        <v>23</v>
      </c>
      <c r="H176" s="2" t="s">
        <v>23</v>
      </c>
      <c r="I176" s="2" t="s">
        <v>24</v>
      </c>
      <c r="J176" s="2" t="s">
        <v>1025</v>
      </c>
      <c r="K176" s="2" t="s">
        <v>1026</v>
      </c>
      <c r="L176" s="2" t="s">
        <v>793</v>
      </c>
      <c r="M176" s="2" t="s">
        <v>177</v>
      </c>
      <c r="N176" s="2" t="s">
        <v>92</v>
      </c>
      <c r="O176" s="3">
        <v>4</v>
      </c>
      <c r="P176" s="2" t="s">
        <v>49</v>
      </c>
      <c r="Q176" s="2" t="s">
        <v>133</v>
      </c>
    </row>
    <row r="177" spans="1:17" x14ac:dyDescent="0.25">
      <c r="A177" s="2" t="s">
        <v>1027</v>
      </c>
      <c r="B177" s="2" t="s">
        <v>143</v>
      </c>
      <c r="C177" s="2" t="s">
        <v>1028</v>
      </c>
      <c r="D177" s="2" t="s">
        <v>104</v>
      </c>
      <c r="E177" s="2" t="s">
        <v>255</v>
      </c>
      <c r="F177" s="2" t="s">
        <v>1029</v>
      </c>
      <c r="G177" s="2" t="s">
        <v>23</v>
      </c>
      <c r="H177" s="2" t="s">
        <v>23</v>
      </c>
      <c r="I177" s="2" t="s">
        <v>56</v>
      </c>
      <c r="J177" s="2" t="s">
        <v>1030</v>
      </c>
      <c r="K177" s="2" t="s">
        <v>1031</v>
      </c>
      <c r="L177" s="2" t="s">
        <v>567</v>
      </c>
      <c r="M177" s="2" t="s">
        <v>28</v>
      </c>
      <c r="N177" s="2" t="s">
        <v>60</v>
      </c>
      <c r="O177" s="3">
        <v>2</v>
      </c>
      <c r="P177" s="2" t="s">
        <v>30</v>
      </c>
      <c r="Q177" s="2" t="s">
        <v>31</v>
      </c>
    </row>
    <row r="178" spans="1:17" x14ac:dyDescent="0.25">
      <c r="A178" s="2" t="s">
        <v>1032</v>
      </c>
      <c r="B178" s="2" t="s">
        <v>918</v>
      </c>
      <c r="C178" s="2" t="s">
        <v>1033</v>
      </c>
      <c r="D178" s="2" t="s">
        <v>80</v>
      </c>
      <c r="E178" s="2" t="s">
        <v>372</v>
      </c>
      <c r="F178" s="2" t="s">
        <v>1034</v>
      </c>
      <c r="G178" s="2" t="s">
        <v>23</v>
      </c>
      <c r="H178" s="2" t="s">
        <v>23</v>
      </c>
      <c r="I178" s="2" t="s">
        <v>38</v>
      </c>
      <c r="J178" s="2" t="s">
        <v>1035</v>
      </c>
      <c r="K178" s="2" t="s">
        <v>1036</v>
      </c>
      <c r="L178" s="2" t="s">
        <v>27</v>
      </c>
      <c r="M178" s="2" t="s">
        <v>48</v>
      </c>
      <c r="N178" s="2" t="s">
        <v>29</v>
      </c>
      <c r="O178" s="3">
        <v>3</v>
      </c>
      <c r="P178" s="2" t="s">
        <v>30</v>
      </c>
      <c r="Q178" s="2" t="s">
        <v>31</v>
      </c>
    </row>
    <row r="179" spans="1:17" x14ac:dyDescent="0.25">
      <c r="A179" s="2" t="s">
        <v>1037</v>
      </c>
      <c r="B179" s="2" t="s">
        <v>94</v>
      </c>
      <c r="C179" s="2" t="s">
        <v>1038</v>
      </c>
      <c r="D179" s="2" t="s">
        <v>167</v>
      </c>
      <c r="E179" s="2" t="s">
        <v>257</v>
      </c>
      <c r="F179" s="2" t="s">
        <v>1039</v>
      </c>
      <c r="G179" s="2" t="s">
        <v>23</v>
      </c>
      <c r="H179" s="2" t="s">
        <v>23</v>
      </c>
      <c r="I179" s="2" t="s">
        <v>38</v>
      </c>
      <c r="J179" s="2" t="s">
        <v>1040</v>
      </c>
      <c r="K179" s="2" t="s">
        <v>1041</v>
      </c>
      <c r="L179" s="2" t="s">
        <v>545</v>
      </c>
      <c r="M179" s="2" t="s">
        <v>28</v>
      </c>
      <c r="N179" s="2" t="s">
        <v>189</v>
      </c>
      <c r="O179" s="3">
        <v>10</v>
      </c>
      <c r="P179" s="2" t="s">
        <v>30</v>
      </c>
      <c r="Q179" s="2" t="s">
        <v>31</v>
      </c>
    </row>
    <row r="180" spans="1:17" x14ac:dyDescent="0.25">
      <c r="A180" s="2" t="s">
        <v>1042</v>
      </c>
      <c r="B180" s="2" t="s">
        <v>596</v>
      </c>
      <c r="C180" s="2" t="s">
        <v>1043</v>
      </c>
      <c r="D180" s="2" t="s">
        <v>71</v>
      </c>
      <c r="G180" s="2" t="s">
        <v>23</v>
      </c>
      <c r="H180" s="2" t="s">
        <v>23</v>
      </c>
      <c r="I180" s="2" t="s">
        <v>38</v>
      </c>
      <c r="J180" s="2" t="s">
        <v>1044</v>
      </c>
      <c r="K180" s="2" t="s">
        <v>1045</v>
      </c>
      <c r="L180" s="2" t="s">
        <v>998</v>
      </c>
      <c r="M180" s="2" t="s">
        <v>28</v>
      </c>
      <c r="N180" s="2" t="s">
        <v>29</v>
      </c>
      <c r="O180" s="3">
        <v>2</v>
      </c>
      <c r="P180" s="2" t="s">
        <v>49</v>
      </c>
      <c r="Q180" s="2" t="s">
        <v>133</v>
      </c>
    </row>
    <row r="181" spans="1:17" x14ac:dyDescent="0.25">
      <c r="A181" s="2" t="s">
        <v>1046</v>
      </c>
      <c r="B181" s="2" t="s">
        <v>85</v>
      </c>
      <c r="C181" s="2" t="s">
        <v>1047</v>
      </c>
      <c r="D181" s="2" t="s">
        <v>80</v>
      </c>
      <c r="E181" s="2" t="s">
        <v>21</v>
      </c>
      <c r="F181" s="2" t="s">
        <v>1048</v>
      </c>
      <c r="G181" s="2" t="s">
        <v>23</v>
      </c>
      <c r="H181" s="2" t="s">
        <v>23</v>
      </c>
      <c r="I181" s="2" t="s">
        <v>88</v>
      </c>
      <c r="J181" s="2" t="s">
        <v>1049</v>
      </c>
      <c r="K181" s="2" t="s">
        <v>1050</v>
      </c>
      <c r="L181" s="2" t="s">
        <v>1051</v>
      </c>
      <c r="M181" s="2" t="s">
        <v>177</v>
      </c>
      <c r="N181" s="2" t="s">
        <v>189</v>
      </c>
      <c r="O181" s="3">
        <v>3</v>
      </c>
      <c r="P181" s="2" t="s">
        <v>30</v>
      </c>
      <c r="Q181" s="2" t="s">
        <v>31</v>
      </c>
    </row>
    <row r="182" spans="1:17" x14ac:dyDescent="0.25">
      <c r="A182" s="2" t="s">
        <v>1052</v>
      </c>
      <c r="B182" s="2" t="s">
        <v>288</v>
      </c>
      <c r="C182" s="2" t="s">
        <v>1053</v>
      </c>
      <c r="D182" s="2" t="s">
        <v>104</v>
      </c>
      <c r="E182" s="2" t="s">
        <v>211</v>
      </c>
      <c r="F182" s="2" t="s">
        <v>1054</v>
      </c>
      <c r="G182" s="2" t="s">
        <v>23</v>
      </c>
      <c r="H182" s="2" t="s">
        <v>23</v>
      </c>
      <c r="I182" s="2" t="s">
        <v>88</v>
      </c>
      <c r="J182" s="2" t="s">
        <v>1055</v>
      </c>
      <c r="K182" s="2" t="s">
        <v>1056</v>
      </c>
      <c r="L182" s="2" t="s">
        <v>100</v>
      </c>
      <c r="M182" s="2" t="s">
        <v>41</v>
      </c>
      <c r="N182" s="2" t="s">
        <v>68</v>
      </c>
      <c r="O182" s="3">
        <v>1</v>
      </c>
      <c r="P182" s="2" t="s">
        <v>30</v>
      </c>
      <c r="Q182" s="2" t="s">
        <v>31</v>
      </c>
    </row>
    <row r="183" spans="1:17" x14ac:dyDescent="0.25">
      <c r="A183" s="2" t="s">
        <v>1057</v>
      </c>
      <c r="B183" s="2" t="s">
        <v>36</v>
      </c>
      <c r="C183" s="2" t="s">
        <v>1058</v>
      </c>
      <c r="D183" s="2" t="s">
        <v>80</v>
      </c>
      <c r="E183" s="2" t="s">
        <v>197</v>
      </c>
      <c r="F183" s="2" t="s">
        <v>689</v>
      </c>
      <c r="G183" s="2" t="s">
        <v>23</v>
      </c>
      <c r="H183" s="2" t="s">
        <v>23</v>
      </c>
      <c r="I183" s="2" t="s">
        <v>24</v>
      </c>
      <c r="J183" s="2" t="s">
        <v>1059</v>
      </c>
      <c r="K183" s="2" t="s">
        <v>1060</v>
      </c>
      <c r="L183" s="2" t="s">
        <v>1013</v>
      </c>
      <c r="M183" s="2" t="s">
        <v>28</v>
      </c>
      <c r="N183" s="2" t="s">
        <v>125</v>
      </c>
      <c r="O183" s="3">
        <v>6</v>
      </c>
      <c r="P183" s="2" t="s">
        <v>30</v>
      </c>
      <c r="Q183" s="2" t="s">
        <v>31</v>
      </c>
    </row>
    <row r="184" spans="1:17" x14ac:dyDescent="0.25">
      <c r="A184" s="2" t="s">
        <v>1061</v>
      </c>
      <c r="B184" s="2" t="s">
        <v>54</v>
      </c>
      <c r="C184" s="2" t="s">
        <v>1062</v>
      </c>
      <c r="D184" s="2" t="s">
        <v>44</v>
      </c>
      <c r="G184" s="2" t="s">
        <v>23</v>
      </c>
      <c r="H184" s="2" t="s">
        <v>23</v>
      </c>
      <c r="I184" s="2" t="s">
        <v>56</v>
      </c>
      <c r="J184" s="2" t="s">
        <v>1063</v>
      </c>
      <c r="K184" s="2" t="s">
        <v>1064</v>
      </c>
      <c r="L184" s="2" t="s">
        <v>346</v>
      </c>
      <c r="M184" s="2" t="s">
        <v>48</v>
      </c>
      <c r="N184" s="2" t="s">
        <v>60</v>
      </c>
      <c r="O184" s="3">
        <v>2</v>
      </c>
      <c r="P184" s="2" t="s">
        <v>49</v>
      </c>
      <c r="Q184" s="2" t="s">
        <v>133</v>
      </c>
    </row>
    <row r="185" spans="1:17" x14ac:dyDescent="0.25">
      <c r="A185" s="2" t="s">
        <v>1065</v>
      </c>
      <c r="B185" s="2" t="s">
        <v>513</v>
      </c>
      <c r="C185" s="2" t="s">
        <v>1066</v>
      </c>
      <c r="D185" s="2" t="s">
        <v>20</v>
      </c>
      <c r="E185" s="2" t="s">
        <v>78</v>
      </c>
      <c r="F185" s="2" t="s">
        <v>1067</v>
      </c>
      <c r="G185" s="2" t="s">
        <v>23</v>
      </c>
      <c r="H185" s="2" t="s">
        <v>23</v>
      </c>
      <c r="I185" s="2" t="s">
        <v>38</v>
      </c>
      <c r="J185" s="2" t="s">
        <v>1068</v>
      </c>
      <c r="K185" s="2" t="s">
        <v>1069</v>
      </c>
      <c r="L185" s="2" t="s">
        <v>639</v>
      </c>
      <c r="M185" s="2" t="s">
        <v>48</v>
      </c>
      <c r="N185" s="2" t="s">
        <v>585</v>
      </c>
      <c r="O185" s="3">
        <v>8</v>
      </c>
      <c r="P185" s="2" t="s">
        <v>30</v>
      </c>
      <c r="Q185" s="2" t="s">
        <v>31</v>
      </c>
    </row>
    <row r="186" spans="1:17" x14ac:dyDescent="0.25">
      <c r="A186" s="2" t="s">
        <v>1070</v>
      </c>
      <c r="B186" s="2" t="s">
        <v>191</v>
      </c>
      <c r="C186" s="2" t="s">
        <v>1071</v>
      </c>
      <c r="D186" s="2" t="s">
        <v>104</v>
      </c>
      <c r="E186" s="2" t="s">
        <v>78</v>
      </c>
      <c r="F186" s="2" t="s">
        <v>1072</v>
      </c>
      <c r="G186" s="2" t="s">
        <v>23</v>
      </c>
      <c r="H186" s="2" t="s">
        <v>23</v>
      </c>
      <c r="I186" s="2" t="s">
        <v>38</v>
      </c>
      <c r="J186" s="2" t="s">
        <v>1073</v>
      </c>
      <c r="K186" s="2" t="s">
        <v>1074</v>
      </c>
      <c r="L186" s="2" t="s">
        <v>1075</v>
      </c>
      <c r="M186" s="2" t="s">
        <v>28</v>
      </c>
      <c r="N186" s="2" t="s">
        <v>158</v>
      </c>
      <c r="O186" s="3">
        <v>5</v>
      </c>
      <c r="P186" s="2" t="s">
        <v>30</v>
      </c>
      <c r="Q186" s="2" t="s">
        <v>31</v>
      </c>
    </row>
    <row r="187" spans="1:17" x14ac:dyDescent="0.25">
      <c r="A187" s="2" t="s">
        <v>1076</v>
      </c>
      <c r="B187" s="2" t="s">
        <v>366</v>
      </c>
      <c r="C187" s="2" t="s">
        <v>1077</v>
      </c>
      <c r="D187" s="2" t="s">
        <v>71</v>
      </c>
      <c r="G187" s="2" t="s">
        <v>23</v>
      </c>
      <c r="H187" s="2" t="s">
        <v>23</v>
      </c>
      <c r="I187" s="2" t="s">
        <v>88</v>
      </c>
      <c r="J187" s="2" t="s">
        <v>1078</v>
      </c>
      <c r="K187" s="2" t="s">
        <v>1079</v>
      </c>
      <c r="L187" s="2" t="s">
        <v>1080</v>
      </c>
      <c r="M187" s="2" t="s">
        <v>48</v>
      </c>
      <c r="N187" s="2" t="s">
        <v>92</v>
      </c>
      <c r="O187" s="3">
        <v>7</v>
      </c>
      <c r="P187" s="2" t="s">
        <v>49</v>
      </c>
      <c r="Q187" s="2" t="s">
        <v>50</v>
      </c>
    </row>
    <row r="188" spans="1:17" x14ac:dyDescent="0.25">
      <c r="A188" s="2" t="s">
        <v>1081</v>
      </c>
      <c r="B188" s="2" t="s">
        <v>343</v>
      </c>
      <c r="C188" s="2" t="s">
        <v>1082</v>
      </c>
      <c r="D188" s="2" t="s">
        <v>35</v>
      </c>
      <c r="G188" s="2" t="s">
        <v>23</v>
      </c>
      <c r="H188" s="2" t="s">
        <v>23</v>
      </c>
      <c r="I188" s="2" t="s">
        <v>38</v>
      </c>
      <c r="J188" s="2" t="s">
        <v>1083</v>
      </c>
      <c r="K188" s="2" t="s">
        <v>1084</v>
      </c>
      <c r="L188" s="2" t="s">
        <v>686</v>
      </c>
      <c r="M188" s="2" t="s">
        <v>48</v>
      </c>
      <c r="N188" s="2" t="s">
        <v>216</v>
      </c>
      <c r="O188" s="3">
        <v>4</v>
      </c>
      <c r="P188" s="2" t="s">
        <v>49</v>
      </c>
      <c r="Q188" s="2" t="s">
        <v>116</v>
      </c>
    </row>
    <row r="189" spans="1:17" x14ac:dyDescent="0.25">
      <c r="A189" s="2" t="s">
        <v>1085</v>
      </c>
      <c r="B189" s="2" t="s">
        <v>513</v>
      </c>
      <c r="C189" s="2" t="s">
        <v>1086</v>
      </c>
      <c r="D189" s="2" t="s">
        <v>71</v>
      </c>
      <c r="E189" s="2" t="s">
        <v>94</v>
      </c>
      <c r="F189" s="2" t="s">
        <v>1087</v>
      </c>
      <c r="G189" s="2" t="s">
        <v>23</v>
      </c>
      <c r="H189" s="2" t="s">
        <v>23</v>
      </c>
      <c r="I189" s="2" t="s">
        <v>88</v>
      </c>
      <c r="J189" s="2" t="s">
        <v>1088</v>
      </c>
      <c r="K189" s="2" t="s">
        <v>1089</v>
      </c>
      <c r="L189" s="2" t="s">
        <v>1090</v>
      </c>
      <c r="M189" s="2" t="s">
        <v>177</v>
      </c>
      <c r="N189" s="2" t="s">
        <v>132</v>
      </c>
      <c r="O189" s="3">
        <v>2</v>
      </c>
      <c r="P189" s="2" t="s">
        <v>30</v>
      </c>
      <c r="Q189" s="2" t="s">
        <v>31</v>
      </c>
    </row>
    <row r="190" spans="1:17" x14ac:dyDescent="0.25">
      <c r="A190" s="2" t="s">
        <v>1091</v>
      </c>
      <c r="B190" s="2" t="s">
        <v>211</v>
      </c>
      <c r="C190" s="2" t="s">
        <v>1092</v>
      </c>
      <c r="D190" s="2" t="s">
        <v>44</v>
      </c>
      <c r="E190" s="2" t="s">
        <v>1093</v>
      </c>
      <c r="F190" s="2" t="s">
        <v>1094</v>
      </c>
      <c r="G190" s="2" t="s">
        <v>23</v>
      </c>
      <c r="H190" s="2" t="s">
        <v>23</v>
      </c>
      <c r="I190" s="2" t="s">
        <v>88</v>
      </c>
      <c r="J190" s="2" t="s">
        <v>1095</v>
      </c>
      <c r="K190" s="2" t="s">
        <v>1096</v>
      </c>
      <c r="L190" s="2" t="s">
        <v>188</v>
      </c>
      <c r="M190" s="2" t="s">
        <v>177</v>
      </c>
      <c r="N190" s="2" t="s">
        <v>189</v>
      </c>
      <c r="O190" s="3">
        <v>2</v>
      </c>
      <c r="P190" s="2" t="s">
        <v>30</v>
      </c>
      <c r="Q190" s="2" t="s">
        <v>31</v>
      </c>
    </row>
    <row r="191" spans="1:17" x14ac:dyDescent="0.25">
      <c r="A191" s="2" t="s">
        <v>1097</v>
      </c>
      <c r="B191" s="2" t="s">
        <v>513</v>
      </c>
      <c r="C191" s="2" t="s">
        <v>1098</v>
      </c>
      <c r="D191" s="2" t="s">
        <v>71</v>
      </c>
      <c r="E191" s="2" t="s">
        <v>257</v>
      </c>
      <c r="F191" s="2" t="s">
        <v>1099</v>
      </c>
      <c r="G191" s="2" t="s">
        <v>23</v>
      </c>
      <c r="H191" s="2" t="s">
        <v>23</v>
      </c>
      <c r="I191" s="2" t="s">
        <v>38</v>
      </c>
      <c r="J191" s="2" t="s">
        <v>1100</v>
      </c>
      <c r="K191" s="2" t="s">
        <v>1101</v>
      </c>
      <c r="L191" s="2" t="s">
        <v>1102</v>
      </c>
      <c r="M191" s="2" t="s">
        <v>177</v>
      </c>
      <c r="N191" s="2" t="s">
        <v>148</v>
      </c>
      <c r="O191" s="3">
        <v>8</v>
      </c>
      <c r="P191" s="2" t="s">
        <v>30</v>
      </c>
      <c r="Q191" s="2" t="s">
        <v>31</v>
      </c>
    </row>
    <row r="192" spans="1:17" x14ac:dyDescent="0.25">
      <c r="A192" s="2" t="s">
        <v>1103</v>
      </c>
      <c r="B192" s="2" t="s">
        <v>299</v>
      </c>
      <c r="C192" s="2" t="s">
        <v>1104</v>
      </c>
      <c r="D192" s="2" t="s">
        <v>20</v>
      </c>
      <c r="G192" s="2" t="s">
        <v>23</v>
      </c>
      <c r="H192" s="2" t="s">
        <v>23</v>
      </c>
      <c r="I192" s="2" t="s">
        <v>38</v>
      </c>
      <c r="J192" s="2" t="s">
        <v>1105</v>
      </c>
      <c r="K192" s="2" t="s">
        <v>1106</v>
      </c>
      <c r="L192" s="2" t="s">
        <v>639</v>
      </c>
      <c r="M192" s="2" t="s">
        <v>48</v>
      </c>
      <c r="N192" s="2" t="s">
        <v>585</v>
      </c>
      <c r="O192" s="3">
        <v>6</v>
      </c>
      <c r="P192" s="2" t="s">
        <v>49</v>
      </c>
      <c r="Q192" s="2" t="s">
        <v>116</v>
      </c>
    </row>
    <row r="193" spans="1:17" x14ac:dyDescent="0.25">
      <c r="A193" s="2" t="s">
        <v>1107</v>
      </c>
      <c r="B193" s="2" t="s">
        <v>301</v>
      </c>
      <c r="C193" s="2" t="s">
        <v>1108</v>
      </c>
      <c r="D193" s="2" t="s">
        <v>20</v>
      </c>
      <c r="E193" s="2" t="s">
        <v>257</v>
      </c>
      <c r="F193" s="2" t="s">
        <v>1109</v>
      </c>
      <c r="G193" s="2" t="s">
        <v>23</v>
      </c>
      <c r="H193" s="2" t="s">
        <v>23</v>
      </c>
      <c r="I193" s="2" t="s">
        <v>56</v>
      </c>
      <c r="J193" s="2" t="s">
        <v>1110</v>
      </c>
      <c r="K193" s="2" t="s">
        <v>1111</v>
      </c>
      <c r="L193" s="2" t="s">
        <v>670</v>
      </c>
      <c r="M193" s="2" t="s">
        <v>177</v>
      </c>
      <c r="N193" s="2" t="s">
        <v>60</v>
      </c>
      <c r="O193" s="3">
        <v>3</v>
      </c>
      <c r="P193" s="2" t="s">
        <v>30</v>
      </c>
      <c r="Q193" s="2" t="s">
        <v>31</v>
      </c>
    </row>
    <row r="194" spans="1:17" x14ac:dyDescent="0.25">
      <c r="A194" s="2" t="s">
        <v>1112</v>
      </c>
      <c r="B194" s="2" t="s">
        <v>267</v>
      </c>
      <c r="C194" s="2" t="s">
        <v>1113</v>
      </c>
      <c r="D194" s="2" t="s">
        <v>71</v>
      </c>
      <c r="E194" s="2" t="s">
        <v>364</v>
      </c>
      <c r="F194" s="2" t="s">
        <v>1114</v>
      </c>
      <c r="G194" s="2" t="s">
        <v>23</v>
      </c>
      <c r="H194" s="2" t="s">
        <v>23</v>
      </c>
      <c r="I194" s="2" t="s">
        <v>56</v>
      </c>
      <c r="J194" s="2" t="s">
        <v>1115</v>
      </c>
      <c r="K194" s="2" t="s">
        <v>1116</v>
      </c>
      <c r="L194" s="2" t="s">
        <v>1117</v>
      </c>
      <c r="M194" s="2" t="s">
        <v>28</v>
      </c>
      <c r="N194" s="2" t="s">
        <v>60</v>
      </c>
      <c r="O194" s="3">
        <v>4</v>
      </c>
      <c r="P194" s="2" t="s">
        <v>30</v>
      </c>
      <c r="Q194" s="2" t="s">
        <v>31</v>
      </c>
    </row>
    <row r="195" spans="1:17" x14ac:dyDescent="0.25">
      <c r="A195" s="2" t="s">
        <v>1118</v>
      </c>
      <c r="B195" s="2" t="s">
        <v>141</v>
      </c>
      <c r="C195" s="2" t="s">
        <v>1119</v>
      </c>
      <c r="D195" s="2" t="s">
        <v>104</v>
      </c>
      <c r="E195" s="2" t="s">
        <v>366</v>
      </c>
      <c r="F195" s="2" t="s">
        <v>1120</v>
      </c>
      <c r="G195" s="2" t="s">
        <v>23</v>
      </c>
      <c r="H195" s="2" t="s">
        <v>23</v>
      </c>
      <c r="I195" s="2" t="s">
        <v>38</v>
      </c>
      <c r="J195" s="2" t="s">
        <v>1121</v>
      </c>
      <c r="K195" s="2" t="s">
        <v>1122</v>
      </c>
      <c r="L195" s="2" t="s">
        <v>284</v>
      </c>
      <c r="M195" s="2" t="s">
        <v>28</v>
      </c>
      <c r="N195" s="2" t="s">
        <v>285</v>
      </c>
      <c r="O195" s="3">
        <v>7</v>
      </c>
      <c r="P195" s="2" t="s">
        <v>30</v>
      </c>
      <c r="Q195" s="2" t="s">
        <v>31</v>
      </c>
    </row>
    <row r="196" spans="1:17" x14ac:dyDescent="0.25">
      <c r="A196" s="2" t="s">
        <v>1123</v>
      </c>
      <c r="B196" s="2" t="s">
        <v>396</v>
      </c>
      <c r="C196" s="2" t="s">
        <v>1124</v>
      </c>
      <c r="D196" s="2" t="s">
        <v>167</v>
      </c>
      <c r="E196" s="2" t="s">
        <v>735</v>
      </c>
      <c r="F196" s="2" t="s">
        <v>1125</v>
      </c>
      <c r="G196" s="2" t="s">
        <v>23</v>
      </c>
      <c r="H196" s="2" t="s">
        <v>23</v>
      </c>
      <c r="I196" s="2" t="s">
        <v>38</v>
      </c>
      <c r="J196" s="2" t="s">
        <v>1126</v>
      </c>
      <c r="K196" s="2" t="s">
        <v>1127</v>
      </c>
      <c r="L196" s="2" t="s">
        <v>639</v>
      </c>
      <c r="M196" s="2" t="s">
        <v>41</v>
      </c>
      <c r="N196" s="2" t="s">
        <v>585</v>
      </c>
      <c r="O196" s="3">
        <v>1</v>
      </c>
      <c r="P196" s="2" t="s">
        <v>30</v>
      </c>
      <c r="Q196" s="2" t="s">
        <v>31</v>
      </c>
    </row>
    <row r="197" spans="1:17" x14ac:dyDescent="0.25">
      <c r="A197" s="2" t="s">
        <v>1128</v>
      </c>
      <c r="B197" s="2" t="s">
        <v>85</v>
      </c>
      <c r="C197" s="2" t="s">
        <v>1129</v>
      </c>
      <c r="D197" s="2" t="s">
        <v>219</v>
      </c>
      <c r="G197" s="2" t="s">
        <v>23</v>
      </c>
      <c r="H197" s="2" t="s">
        <v>23</v>
      </c>
      <c r="I197" s="2" t="s">
        <v>38</v>
      </c>
      <c r="J197" s="2" t="s">
        <v>1130</v>
      </c>
      <c r="K197" s="2" t="s">
        <v>1131</v>
      </c>
      <c r="L197" s="2" t="s">
        <v>787</v>
      </c>
      <c r="M197" s="2" t="s">
        <v>41</v>
      </c>
      <c r="N197" s="2" t="s">
        <v>148</v>
      </c>
      <c r="O197" s="3">
        <v>5</v>
      </c>
      <c r="P197" s="2" t="s">
        <v>49</v>
      </c>
      <c r="Q197" s="2" t="s">
        <v>116</v>
      </c>
    </row>
    <row r="198" spans="1:17" x14ac:dyDescent="0.25">
      <c r="A198" s="2" t="s">
        <v>1132</v>
      </c>
      <c r="B198" s="2" t="s">
        <v>267</v>
      </c>
      <c r="C198" s="2" t="s">
        <v>1133</v>
      </c>
      <c r="D198" s="2" t="s">
        <v>20</v>
      </c>
      <c r="E198" s="2" t="s">
        <v>233</v>
      </c>
      <c r="F198" s="2" t="s">
        <v>1134</v>
      </c>
      <c r="G198" s="2" t="s">
        <v>23</v>
      </c>
      <c r="H198" s="2" t="s">
        <v>23</v>
      </c>
      <c r="I198" s="2" t="s">
        <v>56</v>
      </c>
      <c r="J198" s="2" t="s">
        <v>1135</v>
      </c>
      <c r="K198" s="2" t="s">
        <v>1136</v>
      </c>
      <c r="L198" s="2" t="s">
        <v>655</v>
      </c>
      <c r="M198" s="2" t="s">
        <v>48</v>
      </c>
      <c r="N198" s="2" t="s">
        <v>216</v>
      </c>
      <c r="O198" s="3">
        <v>2</v>
      </c>
      <c r="P198" s="2" t="s">
        <v>30</v>
      </c>
      <c r="Q198" s="2" t="s">
        <v>31</v>
      </c>
    </row>
    <row r="199" spans="1:17" x14ac:dyDescent="0.25">
      <c r="A199" s="2" t="s">
        <v>1137</v>
      </c>
      <c r="B199" s="2" t="s">
        <v>63</v>
      </c>
      <c r="C199" s="2" t="s">
        <v>1138</v>
      </c>
      <c r="D199" s="2" t="s">
        <v>167</v>
      </c>
      <c r="E199" s="2" t="s">
        <v>1139</v>
      </c>
      <c r="F199" s="2" t="s">
        <v>1140</v>
      </c>
      <c r="G199" s="2" t="s">
        <v>23</v>
      </c>
      <c r="H199" s="2" t="s">
        <v>23</v>
      </c>
      <c r="I199" s="2" t="s">
        <v>24</v>
      </c>
      <c r="J199" s="2" t="s">
        <v>1141</v>
      </c>
      <c r="K199" s="2" t="s">
        <v>1142</v>
      </c>
      <c r="L199" s="2" t="s">
        <v>1143</v>
      </c>
      <c r="M199" s="2" t="s">
        <v>41</v>
      </c>
      <c r="N199" s="2" t="s">
        <v>29</v>
      </c>
      <c r="O199" s="3">
        <v>9</v>
      </c>
      <c r="P199" s="2" t="s">
        <v>30</v>
      </c>
      <c r="Q199" s="2" t="s">
        <v>31</v>
      </c>
    </row>
    <row r="200" spans="1:17" x14ac:dyDescent="0.25">
      <c r="A200" s="2" t="s">
        <v>1144</v>
      </c>
      <c r="B200" s="2" t="s">
        <v>118</v>
      </c>
      <c r="C200" s="2" t="s">
        <v>1145</v>
      </c>
      <c r="D200" s="2" t="s">
        <v>113</v>
      </c>
      <c r="E200" s="2" t="s">
        <v>524</v>
      </c>
      <c r="F200" s="2" t="s">
        <v>1146</v>
      </c>
      <c r="G200" s="2" t="s">
        <v>23</v>
      </c>
      <c r="H200" s="2" t="s">
        <v>23</v>
      </c>
      <c r="I200" s="2" t="s">
        <v>88</v>
      </c>
      <c r="J200" s="2" t="s">
        <v>1147</v>
      </c>
      <c r="K200" s="2" t="s">
        <v>1148</v>
      </c>
      <c r="L200" s="2" t="s">
        <v>188</v>
      </c>
      <c r="M200" s="2" t="s">
        <v>48</v>
      </c>
      <c r="N200" s="2" t="s">
        <v>189</v>
      </c>
      <c r="O200" s="3">
        <v>3</v>
      </c>
      <c r="P200" s="2" t="s">
        <v>30</v>
      </c>
      <c r="Q200" s="2" t="s">
        <v>31</v>
      </c>
    </row>
    <row r="201" spans="1:17" x14ac:dyDescent="0.25">
      <c r="A201" s="2" t="s">
        <v>1149</v>
      </c>
      <c r="B201" s="2" t="s">
        <v>366</v>
      </c>
      <c r="C201" s="2" t="s">
        <v>1150</v>
      </c>
      <c r="D201" s="2" t="s">
        <v>113</v>
      </c>
      <c r="E201" s="2" t="s">
        <v>21</v>
      </c>
      <c r="F201" s="2" t="s">
        <v>1151</v>
      </c>
      <c r="G201" s="2" t="s">
        <v>23</v>
      </c>
      <c r="H201" s="2" t="s">
        <v>23</v>
      </c>
      <c r="I201" s="2" t="s">
        <v>56</v>
      </c>
      <c r="J201" s="2" t="s">
        <v>1152</v>
      </c>
      <c r="K201" s="2" t="s">
        <v>1153</v>
      </c>
      <c r="L201" s="2" t="s">
        <v>670</v>
      </c>
      <c r="M201" s="2" t="s">
        <v>41</v>
      </c>
      <c r="N201" s="2" t="s">
        <v>60</v>
      </c>
      <c r="O201" s="3">
        <v>3</v>
      </c>
      <c r="P201" s="2" t="s">
        <v>30</v>
      </c>
      <c r="Q201" s="2" t="s">
        <v>31</v>
      </c>
    </row>
    <row r="202" spans="1:17" x14ac:dyDescent="0.25">
      <c r="A202" s="2" t="s">
        <v>1154</v>
      </c>
      <c r="B202" s="2" t="s">
        <v>197</v>
      </c>
      <c r="C202" s="2" t="s">
        <v>1155</v>
      </c>
      <c r="D202" s="2" t="s">
        <v>71</v>
      </c>
      <c r="E202" s="2" t="s">
        <v>448</v>
      </c>
      <c r="F202" s="2" t="s">
        <v>1156</v>
      </c>
      <c r="G202" s="2" t="s">
        <v>23</v>
      </c>
      <c r="H202" s="2" t="s">
        <v>23</v>
      </c>
      <c r="I202" s="2" t="s">
        <v>56</v>
      </c>
      <c r="J202" s="2" t="s">
        <v>1157</v>
      </c>
      <c r="K202" s="2" t="s">
        <v>1158</v>
      </c>
      <c r="L202" s="2" t="s">
        <v>67</v>
      </c>
      <c r="M202" s="2" t="s">
        <v>177</v>
      </c>
      <c r="N202" s="2" t="s">
        <v>68</v>
      </c>
      <c r="O202" s="3">
        <v>6</v>
      </c>
      <c r="P202" s="2" t="s">
        <v>30</v>
      </c>
      <c r="Q202" s="2" t="s">
        <v>31</v>
      </c>
    </row>
    <row r="203" spans="1:17" x14ac:dyDescent="0.25">
      <c r="A203" s="2" t="s">
        <v>1159</v>
      </c>
      <c r="B203" s="2" t="s">
        <v>78</v>
      </c>
      <c r="C203" s="2" t="s">
        <v>1160</v>
      </c>
      <c r="D203" s="2" t="s">
        <v>167</v>
      </c>
      <c r="E203" s="2" t="s">
        <v>280</v>
      </c>
      <c r="F203" s="2" t="s">
        <v>1161</v>
      </c>
      <c r="G203" s="2" t="s">
        <v>23</v>
      </c>
      <c r="H203" s="2" t="s">
        <v>23</v>
      </c>
      <c r="I203" s="2" t="s">
        <v>38</v>
      </c>
      <c r="J203" s="2" t="s">
        <v>1162</v>
      </c>
      <c r="K203" s="2" t="s">
        <v>1163</v>
      </c>
      <c r="L203" s="2" t="s">
        <v>1102</v>
      </c>
      <c r="M203" s="2" t="s">
        <v>177</v>
      </c>
      <c r="N203" s="2" t="s">
        <v>148</v>
      </c>
      <c r="O203" s="3">
        <v>6</v>
      </c>
      <c r="P203" s="2" t="s">
        <v>30</v>
      </c>
      <c r="Q203" s="2" t="s">
        <v>50</v>
      </c>
    </row>
    <row r="204" spans="1:17" x14ac:dyDescent="0.25">
      <c r="A204" s="2" t="s">
        <v>1164</v>
      </c>
      <c r="B204" s="2" t="s">
        <v>331</v>
      </c>
      <c r="C204" s="2" t="s">
        <v>1165</v>
      </c>
      <c r="D204" s="2" t="s">
        <v>219</v>
      </c>
      <c r="E204" s="2" t="s">
        <v>519</v>
      </c>
      <c r="F204" s="2" t="s">
        <v>1166</v>
      </c>
      <c r="G204" s="2" t="s">
        <v>23</v>
      </c>
      <c r="H204" s="2" t="s">
        <v>23</v>
      </c>
      <c r="I204" s="2" t="s">
        <v>38</v>
      </c>
      <c r="J204" s="2" t="s">
        <v>1167</v>
      </c>
      <c r="K204" s="2" t="s">
        <v>1168</v>
      </c>
      <c r="L204" s="2" t="s">
        <v>1169</v>
      </c>
      <c r="M204" s="2" t="s">
        <v>41</v>
      </c>
      <c r="N204" s="2" t="s">
        <v>148</v>
      </c>
      <c r="O204" s="3">
        <v>7</v>
      </c>
      <c r="P204" s="2" t="s">
        <v>30</v>
      </c>
      <c r="Q204" s="2" t="s">
        <v>31</v>
      </c>
    </row>
    <row r="205" spans="1:17" x14ac:dyDescent="0.25">
      <c r="A205" s="2" t="s">
        <v>1170</v>
      </c>
      <c r="B205" s="2" t="s">
        <v>102</v>
      </c>
      <c r="C205" s="2" t="s">
        <v>1171</v>
      </c>
      <c r="D205" s="2" t="s">
        <v>219</v>
      </c>
      <c r="G205" s="2" t="s">
        <v>23</v>
      </c>
      <c r="H205" s="2" t="s">
        <v>23</v>
      </c>
      <c r="I205" s="2" t="s">
        <v>38</v>
      </c>
      <c r="J205" s="2" t="s">
        <v>1172</v>
      </c>
      <c r="K205" s="2" t="s">
        <v>1173</v>
      </c>
      <c r="L205" s="2" t="s">
        <v>1174</v>
      </c>
      <c r="M205" s="2" t="s">
        <v>48</v>
      </c>
      <c r="N205" s="2" t="s">
        <v>158</v>
      </c>
      <c r="O205" s="3">
        <v>2</v>
      </c>
      <c r="P205" s="2" t="s">
        <v>49</v>
      </c>
      <c r="Q205" s="2" t="s">
        <v>50</v>
      </c>
    </row>
    <row r="206" spans="1:17" x14ac:dyDescent="0.25">
      <c r="A206" s="2" t="s">
        <v>1175</v>
      </c>
      <c r="B206" s="2" t="s">
        <v>111</v>
      </c>
      <c r="C206" s="2" t="s">
        <v>1176</v>
      </c>
      <c r="D206" s="2" t="s">
        <v>113</v>
      </c>
      <c r="G206" s="2" t="s">
        <v>23</v>
      </c>
      <c r="H206" s="2" t="s">
        <v>23</v>
      </c>
      <c r="I206" s="2" t="s">
        <v>88</v>
      </c>
      <c r="J206" s="2" t="s">
        <v>1177</v>
      </c>
      <c r="K206" s="2" t="s">
        <v>1178</v>
      </c>
      <c r="L206" s="2" t="s">
        <v>1179</v>
      </c>
      <c r="M206" s="2" t="s">
        <v>41</v>
      </c>
      <c r="N206" s="2" t="s">
        <v>242</v>
      </c>
      <c r="O206" s="3">
        <v>4</v>
      </c>
      <c r="P206" s="2" t="s">
        <v>49</v>
      </c>
      <c r="Q206" s="2" t="s">
        <v>50</v>
      </c>
    </row>
    <row r="207" spans="1:17" x14ac:dyDescent="0.25">
      <c r="A207" s="2" t="s">
        <v>1180</v>
      </c>
      <c r="B207" s="2" t="s">
        <v>413</v>
      </c>
      <c r="C207" s="2" t="s">
        <v>1181</v>
      </c>
      <c r="D207" s="2" t="s">
        <v>35</v>
      </c>
      <c r="E207" s="2" t="s">
        <v>374</v>
      </c>
      <c r="F207" s="2" t="s">
        <v>1182</v>
      </c>
      <c r="G207" s="2" t="s">
        <v>23</v>
      </c>
      <c r="H207" s="2" t="s">
        <v>23</v>
      </c>
      <c r="I207" s="2" t="s">
        <v>38</v>
      </c>
      <c r="J207" s="2" t="s">
        <v>1183</v>
      </c>
      <c r="K207" s="2" t="s">
        <v>1184</v>
      </c>
      <c r="L207" s="2" t="s">
        <v>639</v>
      </c>
      <c r="M207" s="2" t="s">
        <v>28</v>
      </c>
      <c r="N207" s="2" t="s">
        <v>585</v>
      </c>
      <c r="O207" s="3">
        <v>2</v>
      </c>
      <c r="P207" s="2" t="s">
        <v>30</v>
      </c>
      <c r="Q207" s="2" t="s">
        <v>31</v>
      </c>
    </row>
    <row r="208" spans="1:17" x14ac:dyDescent="0.25">
      <c r="A208" s="2" t="s">
        <v>1185</v>
      </c>
      <c r="B208" s="2" t="s">
        <v>435</v>
      </c>
      <c r="C208" s="2" t="s">
        <v>1186</v>
      </c>
      <c r="D208" s="2" t="s">
        <v>104</v>
      </c>
      <c r="E208" s="2" t="s">
        <v>141</v>
      </c>
      <c r="F208" s="2" t="s">
        <v>1187</v>
      </c>
      <c r="G208" s="2" t="s">
        <v>23</v>
      </c>
      <c r="H208" s="2" t="s">
        <v>23</v>
      </c>
      <c r="I208" s="2" t="s">
        <v>38</v>
      </c>
      <c r="J208" s="2" t="s">
        <v>1188</v>
      </c>
      <c r="K208" s="2" t="s">
        <v>1189</v>
      </c>
      <c r="L208" s="2" t="s">
        <v>1075</v>
      </c>
      <c r="M208" s="2" t="s">
        <v>41</v>
      </c>
      <c r="N208" s="2" t="s">
        <v>158</v>
      </c>
      <c r="O208" s="3">
        <v>7</v>
      </c>
      <c r="P208" s="2" t="s">
        <v>30</v>
      </c>
      <c r="Q208" s="2" t="s">
        <v>31</v>
      </c>
    </row>
    <row r="209" spans="1:17" x14ac:dyDescent="0.25">
      <c r="A209" s="2" t="s">
        <v>1190</v>
      </c>
      <c r="B209" s="2" t="s">
        <v>226</v>
      </c>
      <c r="C209" s="2" t="s">
        <v>1191</v>
      </c>
      <c r="D209" s="2" t="s">
        <v>219</v>
      </c>
      <c r="E209" s="2" t="s">
        <v>135</v>
      </c>
      <c r="F209" s="2" t="s">
        <v>1192</v>
      </c>
      <c r="G209" s="2" t="s">
        <v>23</v>
      </c>
      <c r="H209" s="2" t="s">
        <v>23</v>
      </c>
      <c r="I209" s="2" t="s">
        <v>38</v>
      </c>
      <c r="J209" s="2" t="s">
        <v>1193</v>
      </c>
      <c r="K209" s="2" t="s">
        <v>1194</v>
      </c>
      <c r="L209" s="2" t="s">
        <v>284</v>
      </c>
      <c r="M209" s="2" t="s">
        <v>48</v>
      </c>
      <c r="N209" s="2" t="s">
        <v>285</v>
      </c>
      <c r="O209" s="3">
        <v>7</v>
      </c>
      <c r="P209" s="2" t="s">
        <v>30</v>
      </c>
      <c r="Q209" s="2" t="s">
        <v>31</v>
      </c>
    </row>
    <row r="210" spans="1:17" x14ac:dyDescent="0.25">
      <c r="A210" s="2" t="s">
        <v>1195</v>
      </c>
      <c r="B210" s="2" t="s">
        <v>209</v>
      </c>
      <c r="C210" s="2" t="s">
        <v>1196</v>
      </c>
      <c r="D210" s="2" t="s">
        <v>104</v>
      </c>
      <c r="G210" s="2" t="s">
        <v>23</v>
      </c>
      <c r="H210" s="2" t="s">
        <v>23</v>
      </c>
      <c r="I210" s="2" t="s">
        <v>56</v>
      </c>
      <c r="J210" s="2" t="s">
        <v>1197</v>
      </c>
      <c r="K210" s="2" t="s">
        <v>1198</v>
      </c>
      <c r="L210" s="2" t="s">
        <v>670</v>
      </c>
      <c r="M210" s="2" t="s">
        <v>28</v>
      </c>
      <c r="N210" s="2" t="s">
        <v>60</v>
      </c>
      <c r="O210" s="3">
        <v>7</v>
      </c>
      <c r="P210" s="2" t="s">
        <v>49</v>
      </c>
      <c r="Q210" s="2" t="s">
        <v>116</v>
      </c>
    </row>
    <row r="211" spans="1:17" x14ac:dyDescent="0.25">
      <c r="A211" s="2" t="s">
        <v>1199</v>
      </c>
      <c r="B211" s="2" t="s">
        <v>143</v>
      </c>
      <c r="C211" s="2" t="s">
        <v>1200</v>
      </c>
      <c r="D211" s="2" t="s">
        <v>104</v>
      </c>
      <c r="E211" s="2" t="s">
        <v>209</v>
      </c>
      <c r="F211" s="2" t="s">
        <v>1201</v>
      </c>
      <c r="G211" s="2" t="s">
        <v>23</v>
      </c>
      <c r="H211" s="2" t="s">
        <v>23</v>
      </c>
      <c r="I211" s="2" t="s">
        <v>38</v>
      </c>
      <c r="J211" s="2" t="s">
        <v>1202</v>
      </c>
      <c r="K211" s="2" t="s">
        <v>1203</v>
      </c>
      <c r="L211" s="2" t="s">
        <v>1204</v>
      </c>
      <c r="M211" s="2" t="s">
        <v>48</v>
      </c>
      <c r="N211" s="2" t="s">
        <v>148</v>
      </c>
      <c r="O211" s="3">
        <v>1</v>
      </c>
      <c r="P211" s="2" t="s">
        <v>30</v>
      </c>
      <c r="Q211" s="2" t="s">
        <v>31</v>
      </c>
    </row>
    <row r="212" spans="1:17" x14ac:dyDescent="0.25">
      <c r="A212" s="2" t="s">
        <v>1205</v>
      </c>
      <c r="B212" s="2" t="s">
        <v>111</v>
      </c>
      <c r="C212" s="2" t="s">
        <v>1206</v>
      </c>
      <c r="D212" s="2" t="s">
        <v>44</v>
      </c>
      <c r="E212" s="2" t="s">
        <v>524</v>
      </c>
      <c r="F212" s="2" t="s">
        <v>1207</v>
      </c>
      <c r="G212" s="2" t="s">
        <v>23</v>
      </c>
      <c r="H212" s="2" t="s">
        <v>23</v>
      </c>
      <c r="I212" s="2" t="s">
        <v>88</v>
      </c>
      <c r="J212" s="2" t="s">
        <v>1208</v>
      </c>
      <c r="K212" s="2" t="s">
        <v>1209</v>
      </c>
      <c r="L212" s="2" t="s">
        <v>970</v>
      </c>
      <c r="M212" s="2" t="s">
        <v>28</v>
      </c>
      <c r="N212" s="2" t="s">
        <v>189</v>
      </c>
      <c r="O212" s="3">
        <v>7</v>
      </c>
      <c r="P212" s="2" t="s">
        <v>30</v>
      </c>
      <c r="Q212" s="2" t="s">
        <v>31</v>
      </c>
    </row>
    <row r="213" spans="1:17" x14ac:dyDescent="0.25">
      <c r="A213" s="2" t="s">
        <v>1210</v>
      </c>
      <c r="B213" s="2" t="s">
        <v>191</v>
      </c>
      <c r="C213" s="2" t="s">
        <v>1211</v>
      </c>
      <c r="D213" s="2" t="s">
        <v>167</v>
      </c>
      <c r="E213" s="2" t="s">
        <v>918</v>
      </c>
      <c r="F213" s="2" t="s">
        <v>1212</v>
      </c>
      <c r="G213" s="2" t="s">
        <v>23</v>
      </c>
      <c r="H213" s="2" t="s">
        <v>23</v>
      </c>
      <c r="I213" s="2" t="s">
        <v>24</v>
      </c>
      <c r="J213" s="2" t="s">
        <v>1213</v>
      </c>
      <c r="K213" s="2" t="s">
        <v>1214</v>
      </c>
      <c r="L213" s="2" t="s">
        <v>362</v>
      </c>
      <c r="M213" s="2" t="s">
        <v>41</v>
      </c>
      <c r="N213" s="2" t="s">
        <v>125</v>
      </c>
      <c r="O213" s="3">
        <v>4</v>
      </c>
      <c r="P213" s="2" t="s">
        <v>30</v>
      </c>
      <c r="Q213" s="2" t="s">
        <v>31</v>
      </c>
    </row>
    <row r="214" spans="1:17" x14ac:dyDescent="0.25">
      <c r="A214" s="2" t="s">
        <v>1215</v>
      </c>
      <c r="B214" s="2" t="s">
        <v>135</v>
      </c>
      <c r="C214" s="2" t="s">
        <v>1216</v>
      </c>
      <c r="D214" s="2" t="s">
        <v>80</v>
      </c>
      <c r="E214" s="2" t="s">
        <v>172</v>
      </c>
      <c r="F214" s="2" t="s">
        <v>1217</v>
      </c>
      <c r="G214" s="2" t="s">
        <v>23</v>
      </c>
      <c r="H214" s="2" t="s">
        <v>23</v>
      </c>
      <c r="I214" s="2" t="s">
        <v>24</v>
      </c>
      <c r="J214" s="2" t="s">
        <v>1218</v>
      </c>
      <c r="K214" s="2" t="s">
        <v>1219</v>
      </c>
      <c r="L214" s="2" t="s">
        <v>1013</v>
      </c>
      <c r="M214" s="2" t="s">
        <v>28</v>
      </c>
      <c r="N214" s="2" t="s">
        <v>125</v>
      </c>
      <c r="O214" s="3">
        <v>3</v>
      </c>
      <c r="P214" s="2" t="s">
        <v>30</v>
      </c>
      <c r="Q214" s="2" t="s">
        <v>31</v>
      </c>
    </row>
    <row r="215" spans="1:17" x14ac:dyDescent="0.25">
      <c r="A215" s="2" t="s">
        <v>1220</v>
      </c>
      <c r="B215" s="2" t="s">
        <v>78</v>
      </c>
      <c r="C215" s="2" t="s">
        <v>1221</v>
      </c>
      <c r="D215" s="2" t="s">
        <v>71</v>
      </c>
      <c r="E215" s="2" t="s">
        <v>36</v>
      </c>
      <c r="F215" s="2" t="s">
        <v>1222</v>
      </c>
      <c r="G215" s="2" t="s">
        <v>23</v>
      </c>
      <c r="H215" s="2" t="s">
        <v>23</v>
      </c>
      <c r="I215" s="2" t="s">
        <v>56</v>
      </c>
      <c r="J215" s="2" t="s">
        <v>1223</v>
      </c>
      <c r="K215" s="2" t="s">
        <v>1224</v>
      </c>
      <c r="L215" s="2" t="s">
        <v>100</v>
      </c>
      <c r="M215" s="2" t="s">
        <v>177</v>
      </c>
      <c r="N215" s="2" t="s">
        <v>68</v>
      </c>
      <c r="O215" s="3">
        <v>1</v>
      </c>
      <c r="P215" s="2" t="s">
        <v>30</v>
      </c>
      <c r="Q215" s="2" t="s">
        <v>31</v>
      </c>
    </row>
    <row r="216" spans="1:17" x14ac:dyDescent="0.25">
      <c r="A216" s="2" t="s">
        <v>1225</v>
      </c>
      <c r="B216" s="2" t="s">
        <v>596</v>
      </c>
      <c r="C216" s="2" t="s">
        <v>1226</v>
      </c>
      <c r="G216" s="2" t="s">
        <v>23</v>
      </c>
      <c r="H216" s="2" t="s">
        <v>23</v>
      </c>
      <c r="I216" s="2" t="s">
        <v>88</v>
      </c>
      <c r="J216" s="2" t="s">
        <v>1227</v>
      </c>
      <c r="K216" s="2" t="s">
        <v>1228</v>
      </c>
      <c r="L216" s="2" t="s">
        <v>633</v>
      </c>
      <c r="M216" s="2" t="s">
        <v>177</v>
      </c>
      <c r="N216" s="2" t="s">
        <v>132</v>
      </c>
      <c r="O216" s="3">
        <v>5</v>
      </c>
      <c r="P216" s="2" t="s">
        <v>49</v>
      </c>
      <c r="Q216" s="2" t="s">
        <v>133</v>
      </c>
    </row>
    <row r="217" spans="1:17" x14ac:dyDescent="0.25">
      <c r="A217" s="2" t="s">
        <v>1229</v>
      </c>
      <c r="B217" s="2" t="s">
        <v>299</v>
      </c>
      <c r="C217" s="2" t="s">
        <v>1230</v>
      </c>
      <c r="D217" s="2" t="s">
        <v>44</v>
      </c>
      <c r="G217" s="2" t="s">
        <v>23</v>
      </c>
      <c r="H217" s="2" t="s">
        <v>23</v>
      </c>
      <c r="I217" s="2" t="s">
        <v>56</v>
      </c>
      <c r="J217" s="2" t="s">
        <v>1231</v>
      </c>
      <c r="K217" s="2" t="s">
        <v>1232</v>
      </c>
      <c r="L217" s="2" t="s">
        <v>277</v>
      </c>
      <c r="M217" s="2" t="s">
        <v>28</v>
      </c>
      <c r="N217" s="2" t="s">
        <v>29</v>
      </c>
      <c r="O217" s="3">
        <v>4</v>
      </c>
      <c r="P217" s="2" t="s">
        <v>49</v>
      </c>
      <c r="Q217" s="2" t="s">
        <v>133</v>
      </c>
    </row>
    <row r="218" spans="1:17" x14ac:dyDescent="0.25">
      <c r="A218" s="2" t="s">
        <v>1233</v>
      </c>
      <c r="B218" s="2" t="s">
        <v>372</v>
      </c>
      <c r="C218" s="2" t="s">
        <v>1234</v>
      </c>
      <c r="D218" s="2" t="s">
        <v>44</v>
      </c>
      <c r="E218" s="2" t="s">
        <v>161</v>
      </c>
      <c r="F218" s="2" t="s">
        <v>1235</v>
      </c>
      <c r="G218" s="2" t="s">
        <v>23</v>
      </c>
      <c r="H218" s="2" t="s">
        <v>23</v>
      </c>
      <c r="I218" s="2" t="s">
        <v>24</v>
      </c>
      <c r="J218" s="2" t="s">
        <v>1236</v>
      </c>
      <c r="K218" s="2" t="s">
        <v>1237</v>
      </c>
      <c r="L218" s="2" t="s">
        <v>1013</v>
      </c>
      <c r="M218" s="2" t="s">
        <v>28</v>
      </c>
      <c r="N218" s="2" t="s">
        <v>125</v>
      </c>
      <c r="O218" s="3">
        <v>8</v>
      </c>
      <c r="P218" s="2" t="s">
        <v>30</v>
      </c>
      <c r="Q218" s="2" t="s">
        <v>31</v>
      </c>
    </row>
    <row r="219" spans="1:17" x14ac:dyDescent="0.25">
      <c r="A219" s="2" t="s">
        <v>1238</v>
      </c>
      <c r="B219" s="2" t="s">
        <v>94</v>
      </c>
      <c r="C219" s="2" t="s">
        <v>1239</v>
      </c>
      <c r="D219" s="2" t="s">
        <v>104</v>
      </c>
      <c r="E219" s="2" t="s">
        <v>280</v>
      </c>
      <c r="F219" s="2" t="s">
        <v>1240</v>
      </c>
      <c r="G219" s="2" t="s">
        <v>23</v>
      </c>
      <c r="H219" s="2" t="s">
        <v>23</v>
      </c>
      <c r="I219" s="2" t="s">
        <v>88</v>
      </c>
      <c r="J219" s="2" t="s">
        <v>1241</v>
      </c>
      <c r="K219" s="2" t="s">
        <v>1242</v>
      </c>
      <c r="L219" s="2" t="s">
        <v>139</v>
      </c>
      <c r="M219" s="2" t="s">
        <v>41</v>
      </c>
      <c r="N219" s="2" t="s">
        <v>92</v>
      </c>
      <c r="O219" s="3">
        <v>9</v>
      </c>
      <c r="P219" s="2" t="s">
        <v>30</v>
      </c>
      <c r="Q219" s="2" t="s">
        <v>31</v>
      </c>
    </row>
    <row r="220" spans="1:17" x14ac:dyDescent="0.25">
      <c r="A220" s="2" t="s">
        <v>1243</v>
      </c>
      <c r="B220" s="2" t="s">
        <v>191</v>
      </c>
      <c r="C220" s="2" t="s">
        <v>1244</v>
      </c>
      <c r="D220" s="2" t="s">
        <v>87</v>
      </c>
      <c r="G220" s="2" t="s">
        <v>23</v>
      </c>
      <c r="H220" s="2" t="s">
        <v>23</v>
      </c>
      <c r="I220" s="2" t="s">
        <v>24</v>
      </c>
      <c r="J220" s="2" t="s">
        <v>1245</v>
      </c>
      <c r="K220" s="2" t="s">
        <v>1246</v>
      </c>
      <c r="L220" s="2" t="s">
        <v>27</v>
      </c>
      <c r="M220" s="2" t="s">
        <v>28</v>
      </c>
      <c r="N220" s="2" t="s">
        <v>29</v>
      </c>
      <c r="O220" s="3">
        <v>7</v>
      </c>
      <c r="P220" s="2" t="s">
        <v>49</v>
      </c>
      <c r="Q220" s="2" t="s">
        <v>116</v>
      </c>
    </row>
    <row r="221" spans="1:17" x14ac:dyDescent="0.25">
      <c r="A221" s="2" t="s">
        <v>1247</v>
      </c>
      <c r="B221" s="2" t="s">
        <v>413</v>
      </c>
      <c r="C221" s="2" t="s">
        <v>1248</v>
      </c>
      <c r="D221" s="2" t="s">
        <v>104</v>
      </c>
      <c r="E221" s="2" t="s">
        <v>374</v>
      </c>
      <c r="F221" s="2" t="s">
        <v>1249</v>
      </c>
      <c r="G221" s="2" t="s">
        <v>23</v>
      </c>
      <c r="H221" s="2" t="s">
        <v>23</v>
      </c>
      <c r="I221" s="2" t="s">
        <v>38</v>
      </c>
      <c r="J221" s="2" t="s">
        <v>1250</v>
      </c>
      <c r="K221" s="2" t="s">
        <v>1251</v>
      </c>
      <c r="L221" s="2" t="s">
        <v>639</v>
      </c>
      <c r="M221" s="2" t="s">
        <v>28</v>
      </c>
      <c r="N221" s="2" t="s">
        <v>585</v>
      </c>
      <c r="O221" s="3">
        <v>3</v>
      </c>
      <c r="P221" s="2" t="s">
        <v>30</v>
      </c>
      <c r="Q221" s="2" t="s">
        <v>31</v>
      </c>
    </row>
    <row r="222" spans="1:17" x14ac:dyDescent="0.25">
      <c r="A222" s="2" t="s">
        <v>1252</v>
      </c>
      <c r="B222" s="2" t="s">
        <v>396</v>
      </c>
      <c r="C222" s="2" t="s">
        <v>1253</v>
      </c>
      <c r="D222" s="2" t="s">
        <v>35</v>
      </c>
      <c r="E222" s="2" t="s">
        <v>364</v>
      </c>
      <c r="F222" s="2" t="s">
        <v>1254</v>
      </c>
      <c r="G222" s="2" t="s">
        <v>23</v>
      </c>
      <c r="H222" s="2" t="s">
        <v>23</v>
      </c>
      <c r="I222" s="2" t="s">
        <v>88</v>
      </c>
      <c r="J222" s="2" t="s">
        <v>1255</v>
      </c>
      <c r="K222" s="2" t="s">
        <v>1256</v>
      </c>
      <c r="L222" s="2" t="s">
        <v>67</v>
      </c>
      <c r="M222" s="2" t="s">
        <v>28</v>
      </c>
      <c r="N222" s="2" t="s">
        <v>68</v>
      </c>
      <c r="O222" s="3">
        <v>6</v>
      </c>
      <c r="P222" s="2" t="s">
        <v>30</v>
      </c>
      <c r="Q222" s="2" t="s">
        <v>31</v>
      </c>
    </row>
    <row r="223" spans="1:17" x14ac:dyDescent="0.25">
      <c r="A223" s="2" t="s">
        <v>1257</v>
      </c>
      <c r="B223" s="2" t="s">
        <v>366</v>
      </c>
      <c r="C223" s="2" t="s">
        <v>1258</v>
      </c>
      <c r="D223" s="2" t="s">
        <v>113</v>
      </c>
      <c r="E223" s="2" t="s">
        <v>813</v>
      </c>
      <c r="F223" s="2" t="s">
        <v>1259</v>
      </c>
      <c r="G223" s="2" t="s">
        <v>23</v>
      </c>
      <c r="H223" s="2" t="s">
        <v>23</v>
      </c>
      <c r="I223" s="2" t="s">
        <v>24</v>
      </c>
      <c r="J223" s="2" t="s">
        <v>1260</v>
      </c>
      <c r="K223" s="2" t="s">
        <v>1261</v>
      </c>
      <c r="L223" s="2" t="s">
        <v>1013</v>
      </c>
      <c r="M223" s="2" t="s">
        <v>28</v>
      </c>
      <c r="N223" s="2" t="s">
        <v>125</v>
      </c>
      <c r="O223" s="3">
        <v>7</v>
      </c>
      <c r="P223" s="2" t="s">
        <v>30</v>
      </c>
      <c r="Q223" s="2" t="s">
        <v>31</v>
      </c>
    </row>
    <row r="224" spans="1:17" x14ac:dyDescent="0.25">
      <c r="A224" s="2" t="s">
        <v>1262</v>
      </c>
      <c r="B224" s="2" t="s">
        <v>313</v>
      </c>
      <c r="C224" s="2" t="s">
        <v>1263</v>
      </c>
      <c r="D224" s="2" t="s">
        <v>219</v>
      </c>
      <c r="G224" s="2" t="s">
        <v>23</v>
      </c>
      <c r="H224" s="2" t="s">
        <v>23</v>
      </c>
      <c r="I224" s="2" t="s">
        <v>56</v>
      </c>
      <c r="J224" s="2" t="s">
        <v>1264</v>
      </c>
      <c r="K224" s="2" t="s">
        <v>1265</v>
      </c>
      <c r="L224" s="2" t="s">
        <v>697</v>
      </c>
      <c r="M224" s="2" t="s">
        <v>28</v>
      </c>
      <c r="N224" s="2" t="s">
        <v>60</v>
      </c>
      <c r="O224" s="3">
        <v>9</v>
      </c>
      <c r="P224" s="2" t="s">
        <v>49</v>
      </c>
      <c r="Q224" s="2" t="s">
        <v>116</v>
      </c>
    </row>
    <row r="225" spans="1:17" x14ac:dyDescent="0.25">
      <c r="A225" s="2" t="s">
        <v>1266</v>
      </c>
      <c r="B225" s="2" t="s">
        <v>52</v>
      </c>
      <c r="C225" s="2" t="s">
        <v>1267</v>
      </c>
      <c r="D225" s="2" t="s">
        <v>71</v>
      </c>
      <c r="E225" s="2" t="s">
        <v>448</v>
      </c>
      <c r="F225" s="2" t="s">
        <v>1268</v>
      </c>
      <c r="G225" s="2" t="s">
        <v>23</v>
      </c>
      <c r="H225" s="2" t="s">
        <v>23</v>
      </c>
      <c r="I225" s="2" t="s">
        <v>56</v>
      </c>
      <c r="J225" s="2" t="s">
        <v>1269</v>
      </c>
      <c r="K225" s="2" t="s">
        <v>1270</v>
      </c>
      <c r="L225" s="2" t="s">
        <v>100</v>
      </c>
      <c r="M225" s="2" t="s">
        <v>28</v>
      </c>
      <c r="N225" s="2" t="s">
        <v>68</v>
      </c>
      <c r="O225" s="3">
        <v>8</v>
      </c>
      <c r="P225" s="2" t="s">
        <v>30</v>
      </c>
      <c r="Q225" s="2" t="s">
        <v>31</v>
      </c>
    </row>
    <row r="226" spans="1:17" x14ac:dyDescent="0.25">
      <c r="A226" s="2" t="s">
        <v>1271</v>
      </c>
      <c r="B226" s="2" t="s">
        <v>18</v>
      </c>
      <c r="C226" s="2" t="s">
        <v>1272</v>
      </c>
      <c r="D226" s="2" t="s">
        <v>167</v>
      </c>
      <c r="E226" s="2" t="s">
        <v>143</v>
      </c>
      <c r="F226" s="2" t="s">
        <v>1273</v>
      </c>
      <c r="G226" s="2" t="s">
        <v>23</v>
      </c>
      <c r="H226" s="2" t="s">
        <v>23</v>
      </c>
      <c r="I226" s="2" t="s">
        <v>88</v>
      </c>
      <c r="J226" s="2" t="s">
        <v>1274</v>
      </c>
      <c r="K226" s="2" t="s">
        <v>1275</v>
      </c>
      <c r="L226" s="2" t="s">
        <v>1276</v>
      </c>
      <c r="M226" s="2" t="s">
        <v>41</v>
      </c>
      <c r="N226" s="2" t="s">
        <v>242</v>
      </c>
      <c r="O226" s="3">
        <v>5</v>
      </c>
      <c r="P226" s="2" t="s">
        <v>30</v>
      </c>
      <c r="Q226" s="2" t="s">
        <v>31</v>
      </c>
    </row>
    <row r="227" spans="1:17" x14ac:dyDescent="0.25"/>
    <row r="228" spans="1:17" x14ac:dyDescent="0.25"/>
    <row r="229" spans="1:17" x14ac:dyDescent="0.25"/>
    <row r="230" spans="1:17" x14ac:dyDescent="0.25"/>
    <row r="231" spans="1:17" x14ac:dyDescent="0.25"/>
    <row r="232" spans="1:17" x14ac:dyDescent="0.25"/>
    <row r="233" spans="1:17" x14ac:dyDescent="0.25"/>
    <row r="234" spans="1:17" x14ac:dyDescent="0.25"/>
    <row r="235" spans="1:17" x14ac:dyDescent="0.25"/>
    <row r="236" spans="1:17" x14ac:dyDescent="0.25"/>
    <row r="237" spans="1:17" x14ac:dyDescent="0.25"/>
    <row r="238" spans="1:17" x14ac:dyDescent="0.25"/>
    <row r="239" spans="1:17" x14ac:dyDescent="0.25"/>
    <row r="240" spans="1:17"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DB423-7040-4844-9D01-3CB46AE878E7}">
  <dimension ref="A1:AF226"/>
  <sheetViews>
    <sheetView topLeftCell="K4" zoomScale="75" zoomScaleNormal="78" workbookViewId="0">
      <selection activeCell="H13" sqref="H13"/>
    </sheetView>
  </sheetViews>
  <sheetFormatPr defaultRowHeight="13.2" x14ac:dyDescent="0.25"/>
  <cols>
    <col min="1" max="1" width="16.88671875" customWidth="1"/>
    <col min="2" max="2" width="17.88671875" customWidth="1"/>
    <col min="3" max="3" width="18.44140625" customWidth="1"/>
    <col min="4" max="4" width="20" style="7" customWidth="1"/>
    <col min="5" max="5" width="20.5546875" customWidth="1"/>
    <col min="6" max="6" width="17.88671875" customWidth="1"/>
    <col min="7" max="7" width="20.44140625" customWidth="1"/>
    <col min="8" max="8" width="20.44140625" style="7" customWidth="1"/>
    <col min="9" max="9" width="22.77734375" bestFit="1" customWidth="1"/>
    <col min="10" max="10" width="28.77734375" customWidth="1"/>
    <col min="11" max="11" width="26.5546875" bestFit="1" customWidth="1"/>
    <col min="12" max="12" width="12" bestFit="1" customWidth="1"/>
    <col min="13" max="13" width="24.33203125" bestFit="1" customWidth="1"/>
    <col min="14" max="14" width="30.109375" customWidth="1"/>
    <col min="15" max="15" width="20" customWidth="1"/>
    <col min="16" max="16" width="45" bestFit="1" customWidth="1"/>
    <col min="17" max="17" width="18.109375" customWidth="1"/>
    <col min="18" max="18" width="13.21875" customWidth="1"/>
    <col min="19" max="19" width="15.21875" customWidth="1"/>
    <col min="20" max="20" width="24.21875" bestFit="1" customWidth="1"/>
    <col min="21" max="21" width="21.21875" customWidth="1"/>
    <col min="22" max="22" width="27.21875" customWidth="1"/>
    <col min="23" max="24" width="19.77734375" customWidth="1"/>
    <col min="25" max="25" width="24.5546875" customWidth="1"/>
    <col min="26" max="26" width="24.77734375" customWidth="1"/>
    <col min="27" max="27" width="21.77734375" style="18" customWidth="1"/>
    <col min="28" max="28" width="11.77734375" style="43" bestFit="1" customWidth="1"/>
    <col min="29" max="29" width="12.5546875" style="13" bestFit="1" customWidth="1"/>
    <col min="30" max="30" width="17.88671875" style="13" bestFit="1" customWidth="1"/>
    <col min="31" max="31" width="14.88671875" style="13" customWidth="1"/>
    <col min="32" max="32" width="13.44140625" bestFit="1" customWidth="1"/>
  </cols>
  <sheetData>
    <row r="1" spans="1:32" x14ac:dyDescent="0.25">
      <c r="A1" s="4" t="s">
        <v>0</v>
      </c>
      <c r="B1" s="4" t="s">
        <v>1</v>
      </c>
      <c r="C1" s="4" t="s">
        <v>2</v>
      </c>
      <c r="D1" s="6" t="s">
        <v>1277</v>
      </c>
      <c r="E1" s="4" t="s">
        <v>3</v>
      </c>
      <c r="F1" s="4" t="s">
        <v>4</v>
      </c>
      <c r="G1" s="4" t="s">
        <v>5</v>
      </c>
      <c r="H1" s="25" t="s">
        <v>1283</v>
      </c>
      <c r="I1" s="4" t="s">
        <v>6</v>
      </c>
      <c r="J1" s="4" t="s">
        <v>7</v>
      </c>
      <c r="K1" s="4" t="s">
        <v>8</v>
      </c>
      <c r="L1" s="4" t="s">
        <v>9</v>
      </c>
      <c r="M1" s="4" t="s">
        <v>10</v>
      </c>
      <c r="N1" s="4" t="s">
        <v>11</v>
      </c>
      <c r="O1" s="4" t="s">
        <v>12</v>
      </c>
      <c r="P1" s="4" t="s">
        <v>13</v>
      </c>
      <c r="Q1" s="4" t="s">
        <v>14</v>
      </c>
      <c r="R1" s="4" t="s">
        <v>15</v>
      </c>
      <c r="S1" s="4" t="s">
        <v>16</v>
      </c>
      <c r="T1" s="4" t="s">
        <v>1278</v>
      </c>
      <c r="U1" s="4" t="s">
        <v>1279</v>
      </c>
      <c r="V1" s="4" t="s">
        <v>1280</v>
      </c>
      <c r="W1" s="4" t="s">
        <v>1284</v>
      </c>
      <c r="X1" s="4" t="s">
        <v>1285</v>
      </c>
      <c r="Y1" s="4" t="s">
        <v>1281</v>
      </c>
      <c r="Z1" s="4" t="s">
        <v>1282</v>
      </c>
      <c r="AA1" s="15" t="s">
        <v>1322</v>
      </c>
      <c r="AB1" s="66" t="s">
        <v>1323</v>
      </c>
      <c r="AC1" s="12" t="s">
        <v>1324</v>
      </c>
      <c r="AD1" s="12" t="s">
        <v>1325</v>
      </c>
      <c r="AE1" s="12" t="s">
        <v>1329</v>
      </c>
      <c r="AF1" s="12" t="s">
        <v>1391</v>
      </c>
    </row>
    <row r="2" spans="1:32" x14ac:dyDescent="0.25">
      <c r="A2" s="2" t="s">
        <v>17</v>
      </c>
      <c r="B2" s="2" t="s">
        <v>18</v>
      </c>
      <c r="C2" s="2" t="s">
        <v>19</v>
      </c>
      <c r="D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45892.761134259257</v>
      </c>
      <c r="E2" s="2" t="s">
        <v>20</v>
      </c>
      <c r="F2" s="2" t="s">
        <v>21</v>
      </c>
      <c r="G2" s="2" t="s">
        <v>22</v>
      </c>
      <c r="H2"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45899.722928240742</v>
      </c>
      <c r="I2" s="2" t="s">
        <v>23</v>
      </c>
      <c r="J2" s="2" t="s">
        <v>23</v>
      </c>
      <c r="K2" s="2" t="s">
        <v>24</v>
      </c>
      <c r="L2" s="2" t="s">
        <v>25</v>
      </c>
      <c r="M2" s="2" t="s">
        <v>26</v>
      </c>
      <c r="N2" s="2" t="s">
        <v>27</v>
      </c>
      <c r="O2" s="2" t="s">
        <v>28</v>
      </c>
      <c r="P2" s="2" t="s">
        <v>29</v>
      </c>
      <c r="Q2" s="3">
        <v>6</v>
      </c>
      <c r="R2" s="2" t="s">
        <v>30</v>
      </c>
      <c r="S2" s="2" t="s">
        <v>31</v>
      </c>
      <c r="T2" s="2" t="str">
        <f>IF(OR(NPS_Data[[#This Row],[CreatedDateTime]]="",NPS_Data[[#This Row],[Assigned To]]="",NPS_Data[[#This Row],[Issue 2 - NPS]]="",NPS_Data[[#This Row],[Program Name]]=""),"Missing","OK")</f>
        <v>OK</v>
      </c>
      <c r="U2" s="2" t="str">
        <f>IF(
  AND(NPS_Data[[#This Row],[Status]]="Complete", OR(ISNA(NPS_Data[[#This Row],[ResolvedDateTime]]), ISBLANK(NPS_Data[[#This Row],[ResolvedDateTime]]))),
  "CompleteNoResolved",
  IF(
    AND(NPS_Data[[#This Row],[Status]]="Pending", NPS_Data[[#This Row],[Sub Status]]="Solved"),
    "PendingButSolved",
    "OK"
  )
)</f>
        <v>OK</v>
      </c>
      <c r="V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 s="2" t="str">
        <f>IFERROR(TRIM(CLEAN(NPS_Data[[#This Row],[Ticket All Remarks]])),"")</f>
        <v>No code review feedback provided for assignments. Submitting working solutions but don't know if following best practices or industry standards. || Resolution: Introduced mandatory code review sessions with senior developers</v>
      </c>
      <c r="X2" s="2" cm="1">
        <f t="array" aca="1" ref="X2" ca="1">IF(NPS_Data[[#This Row],[CleanRemark]]="","",
   SUMPRODUCT(CODE(MID(NPS_Data[[#This Row],[CleanRemark]],ROW(INDIRECT("1:"&amp;LEN(NPS_Data[[#This Row],[CleanRemark]]))),1))))</f>
        <v>21754</v>
      </c>
      <c r="Y2" s="2" t="str">
        <f>IF(COUNTIF(NPS_Data[Ticket No],NPS_Data[[#This Row],[Ticket No]])&gt;1,"Duplicate","OK")</f>
        <v>OK</v>
      </c>
      <c r="Z2" s="2" t="str">
        <f ca="1">IF(NPS_Data[[#This Row],[RemarkHash]]="","OK",
   IF(COUNTIF(NPS_Data[RemarkHash],NPS_Data[[#This Row],[RemarkHash]])&gt;1,"RepeatedRemark","OK"))</f>
        <v>RepeatedRemark</v>
      </c>
      <c r="AA2" s="16">
        <f>IF( AND( ISNUMBER(NPS_Data[[#This Row],[CreatedDateTime]]), ISNUMBER(NPS_Data[[#This Row],[ResolvedDateTime]]) ), (NPS_Data[[#This Row],[ResolvedDateTime]] - NPS_Data[[#This Row],[CreatedDateTime]]) * 24, 0 )</f>
        <v>167.08305555564584</v>
      </c>
      <c r="AB2" s="65" t="str">
        <f>IF(NOT(ISNA(NPS_Data[[#This Row],[CreatedDateTime]])),
   YEAR(NPS_Data[[#This Row],[CreatedDateTime]]) &amp; "-" &amp; TEXT(WEEKNUM(NPS_Data[[#This Row],[CreatedDateTime]],2),"00"),
   "")</f>
        <v>2025-34</v>
      </c>
      <c r="AC2" s="14" t="str">
        <f>IF(NOT(ISNA(NPS_Data[[#This Row],[CreatedDateTime]])), TEXT(NPS_Data[[#This Row],[CreatedDateTime]],"YYYY-MM"), "")</f>
        <v>2025-08</v>
      </c>
      <c r="AD2" s="14" t="str">
        <f>IF(NOT(ISNUMBER(NPS_Data[[#This Row],[ResolutionHours]])),"Open", IF(NPS_Data[[#This Row],[ResolutionHours]]&gt;72,"Breach","OK"))</f>
        <v>Breach</v>
      </c>
      <c r="AE2" s="14">
        <f>IF(AND(ISNUMBER(NPS_Data[[#This Row],[CreatedDateTime]]), ISNUMBER(NPS_Data[[#This Row],[ResolvedDateTime]])), 1, 0)</f>
        <v>1</v>
      </c>
      <c r="AF2" s="48" t="str">
        <f>IF(NOT(ISNA(NPS_Data[[#This Row],[CreatedDateTime]])), TEXT(NPS_Data[[#This Row],[CreatedDateTime]],"dddd"), "")</f>
        <v>Saturday</v>
      </c>
    </row>
    <row r="3" spans="1:32" x14ac:dyDescent="0.25">
      <c r="A3" s="2" t="s">
        <v>32</v>
      </c>
      <c r="B3" s="2" t="s">
        <v>33</v>
      </c>
      <c r="C3" s="2" t="s">
        <v>34</v>
      </c>
      <c r="D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45902.738726851851</v>
      </c>
      <c r="E3" s="2" t="s">
        <v>35</v>
      </c>
      <c r="F3" s="2" t="s">
        <v>36</v>
      </c>
      <c r="G3" s="2" t="s">
        <v>37</v>
      </c>
      <c r="H3"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45912.511134259257</v>
      </c>
      <c r="I3" s="2" t="s">
        <v>23</v>
      </c>
      <c r="J3" s="2" t="s">
        <v>23</v>
      </c>
      <c r="K3" s="2" t="s">
        <v>38</v>
      </c>
      <c r="L3" s="2" t="s">
        <v>39</v>
      </c>
      <c r="M3" s="2" t="s">
        <v>40</v>
      </c>
      <c r="N3" s="2" t="s">
        <v>27</v>
      </c>
      <c r="O3" s="2" t="s">
        <v>41</v>
      </c>
      <c r="P3" s="2" t="s">
        <v>29</v>
      </c>
      <c r="Q3" s="3">
        <v>3</v>
      </c>
      <c r="R3" s="2" t="s">
        <v>30</v>
      </c>
      <c r="S3" s="2" t="s">
        <v>31</v>
      </c>
      <c r="T3" s="2" t="str">
        <f>IF(OR(NPS_Data[[#This Row],[CreatedDateTime]]="",NPS_Data[[#This Row],[Assigned To]]="",NPS_Data[[#This Row],[Issue 2 - NPS]]="",NPS_Data[[#This Row],[Program Name]]=""),"Missing","OK")</f>
        <v>OK</v>
      </c>
      <c r="U3" s="2" t="str">
        <f>IF(
  AND(NPS_Data[[#This Row],[Status]]="Complete", OR(ISNA(NPS_Data[[#This Row],[ResolvedDateTime]]), ISBLANK(NPS_Data[[#This Row],[ResolvedDateTime]]))),
  "CompleteNoResolved",
  IF(
    AND(NPS_Data[[#This Row],[Status]]="Pending", NPS_Data[[#This Row],[Sub Status]]="Solved"),
    "PendingButSolved",
    "OK"
  )
)</f>
        <v>OK</v>
      </c>
      <c r="V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3" s="2" t="str">
        <f>IFERROR(TRIM(CLEAN(NPS_Data[[#This Row],[Ticket All Remarks]])),"")</f>
        <v>No code review feedback provided for assignments. Submitting working solutions but don't know if following best practices or industry standards. || Resolution: Introduced mandatory code review sessions with senior developers</v>
      </c>
      <c r="X3" s="2" cm="1">
        <f t="array" aca="1" ref="X3" ca="1">IF(NPS_Data[[#This Row],[CleanRemark]]="","",
   SUMPRODUCT(CODE(MID(NPS_Data[[#This Row],[CleanRemark]],ROW(INDIRECT("1:"&amp;LEN(NPS_Data[[#This Row],[CleanRemark]]))),1))))</f>
        <v>21754</v>
      </c>
      <c r="Y3" s="2" t="str">
        <f>IF(COUNTIF(NPS_Data[Ticket No],NPS_Data[[#This Row],[Ticket No]])&gt;1,"Duplicate","OK")</f>
        <v>OK</v>
      </c>
      <c r="Z3" s="2" t="str">
        <f ca="1">IF(NPS_Data[[#This Row],[RemarkHash]]="","OK",
   IF(COUNTIF(NPS_Data[RemarkHash],NPS_Data[[#This Row],[RemarkHash]])&gt;1,"RepeatedRemark","OK"))</f>
        <v>RepeatedRemark</v>
      </c>
      <c r="AA3" s="17">
        <f>IF( AND( ISNUMBER(NPS_Data[[#This Row],[CreatedDateTime]]), ISNUMBER(NPS_Data[[#This Row],[ResolvedDateTime]]) ), (NPS_Data[[#This Row],[ResolvedDateTime]] - NPS_Data[[#This Row],[CreatedDateTime]]) * 24, 0 )</f>
        <v>234.53777777776122</v>
      </c>
      <c r="AB3" s="65" t="str">
        <f>IF(NOT(ISNA(NPS_Data[[#This Row],[CreatedDateTime]])),
   YEAR(NPS_Data[[#This Row],[CreatedDateTime]]) &amp; "-" &amp; TEXT(WEEKNUM(NPS_Data[[#This Row],[CreatedDateTime]],2),"00"),
   "")</f>
        <v>2025-36</v>
      </c>
      <c r="AC3" s="14" t="str">
        <f>IF(NOT(ISNA(NPS_Data[[#This Row],[CreatedDateTime]])), TEXT(NPS_Data[[#This Row],[CreatedDateTime]],"YYYY-MM"), "")</f>
        <v>2025-09</v>
      </c>
      <c r="AD3" s="14" t="str">
        <f>IF(NOT(ISNUMBER(NPS_Data[[#This Row],[ResolutionHours]])),"Open", IF(NPS_Data[[#This Row],[ResolutionHours]]&gt;72,"Breach","OK"))</f>
        <v>Breach</v>
      </c>
      <c r="AE3" s="14">
        <f>IF(AND(ISNUMBER(NPS_Data[[#This Row],[CreatedDateTime]]), ISNUMBER(NPS_Data[[#This Row],[ResolvedDateTime]])), 1, 0)</f>
        <v>1</v>
      </c>
      <c r="AF3" s="48" t="str">
        <f>IF(NOT(ISNA(NPS_Data[[#This Row],[CreatedDateTime]])), TEXT(NPS_Data[[#This Row],[CreatedDateTime]],"dddd"), "")</f>
        <v>Tuesday</v>
      </c>
    </row>
    <row r="4" spans="1:32" x14ac:dyDescent="0.25">
      <c r="A4" s="2" t="s">
        <v>42</v>
      </c>
      <c r="B4" s="2" t="s">
        <v>36</v>
      </c>
      <c r="C4" s="2" t="s">
        <v>43</v>
      </c>
      <c r="D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45912.601203703707</v>
      </c>
      <c r="E4" s="2" t="s">
        <v>44</v>
      </c>
      <c r="H4"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4" s="2" t="s">
        <v>23</v>
      </c>
      <c r="J4" s="2" t="s">
        <v>23</v>
      </c>
      <c r="K4" s="2" t="s">
        <v>24</v>
      </c>
      <c r="L4" s="2" t="s">
        <v>45</v>
      </c>
      <c r="M4" s="2" t="s">
        <v>46</v>
      </c>
      <c r="N4" s="2" t="s">
        <v>47</v>
      </c>
      <c r="O4" s="2" t="s">
        <v>48</v>
      </c>
      <c r="P4" s="2" t="s">
        <v>29</v>
      </c>
      <c r="Q4" s="3">
        <v>6</v>
      </c>
      <c r="R4" s="2" t="s">
        <v>49</v>
      </c>
      <c r="S4" s="2" t="s">
        <v>50</v>
      </c>
      <c r="T4" s="2" t="str">
        <f>IF(OR(NPS_Data[[#This Row],[CreatedDateTime]]="",NPS_Data[[#This Row],[Assigned To]]="",NPS_Data[[#This Row],[Issue 2 - NPS]]="",NPS_Data[[#This Row],[Program Name]]=""),"Missing","OK")</f>
        <v>OK</v>
      </c>
      <c r="U4" s="2" t="str">
        <f>IF(
  AND(NPS_Data[[#This Row],[Status]]="Complete", OR(ISNA(NPS_Data[[#This Row],[ResolvedDateTime]]), ISBLANK(NPS_Data[[#This Row],[ResolvedDateTime]]))),
  "CompleteNoResolved",
  IF(
    AND(NPS_Data[[#This Row],[Status]]="Pending", NPS_Data[[#This Row],[Sub Status]]="Solved"),
    "PendingButSolved",
    "OK"
  )
)</f>
        <v>OK</v>
      </c>
      <c r="V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4" s="2" t="str">
        <f>IFERROR(TRIM(CLEAN(NPS_Data[[#This Row],[Ticket All Remarks]])),"")</f>
        <v>Assignment datasets have data quality issues but no guidance on how to handle missing values, outliers, or inconsistent formats professionally. || Resolution: Created data cleaning tutorial series and best practices documentation</v>
      </c>
      <c r="X4" s="2" cm="1">
        <f t="array" aca="1" ref="X4" ca="1">IF(NPS_Data[[#This Row],[CleanRemark]]="","",
   SUMPRODUCT(CODE(MID(NPS_Data[[#This Row],[CleanRemark]],ROW(INDIRECT("1:"&amp;LEN(NPS_Data[[#This Row],[CleanRemark]]))),1))))</f>
        <v>22151</v>
      </c>
      <c r="Y4" s="2" t="str">
        <f>IF(COUNTIF(NPS_Data[Ticket No],NPS_Data[[#This Row],[Ticket No]])&gt;1,"Duplicate","OK")</f>
        <v>OK</v>
      </c>
      <c r="Z4" s="2" t="str">
        <f ca="1">IF(NPS_Data[[#This Row],[RemarkHash]]="","OK",
   IF(COUNTIF(NPS_Data[RemarkHash],NPS_Data[[#This Row],[RemarkHash]])&gt;1,"RepeatedRemark","OK"))</f>
        <v>RepeatedRemark</v>
      </c>
      <c r="AA4" s="17">
        <f>IF( AND( ISNUMBER(NPS_Data[[#This Row],[CreatedDateTime]]), ISNUMBER(NPS_Data[[#This Row],[ResolvedDateTime]]) ), (NPS_Data[[#This Row],[ResolvedDateTime]] - NPS_Data[[#This Row],[CreatedDateTime]]) * 24, 0 )</f>
        <v>0</v>
      </c>
      <c r="AB4" s="65" t="str">
        <f>IF(NOT(ISNA(NPS_Data[[#This Row],[CreatedDateTime]])),
   YEAR(NPS_Data[[#This Row],[CreatedDateTime]]) &amp; "-" &amp; TEXT(WEEKNUM(NPS_Data[[#This Row],[CreatedDateTime]],2),"00"),
   "")</f>
        <v>2025-37</v>
      </c>
      <c r="AC4" s="14" t="str">
        <f>IF(NOT(ISNA(NPS_Data[[#This Row],[CreatedDateTime]])), TEXT(NPS_Data[[#This Row],[CreatedDateTime]],"YYYY-MM"), "")</f>
        <v>2025-09</v>
      </c>
      <c r="AD4" s="14" t="str">
        <f>IF(NOT(ISNUMBER(NPS_Data[[#This Row],[ResolutionHours]])),"Open", IF(NPS_Data[[#This Row],[ResolutionHours]]&gt;72,"Breach","OK"))</f>
        <v>OK</v>
      </c>
      <c r="AE4" s="14">
        <f>IF(AND(ISNUMBER(NPS_Data[[#This Row],[CreatedDateTime]]), ISNUMBER(NPS_Data[[#This Row],[ResolvedDateTime]])), 1, 0)</f>
        <v>0</v>
      </c>
      <c r="AF4" s="48" t="str">
        <f>IF(NOT(ISNA(NPS_Data[[#This Row],[CreatedDateTime]])), TEXT(NPS_Data[[#This Row],[CreatedDateTime]],"dddd"), "")</f>
        <v>Friday</v>
      </c>
    </row>
    <row r="5" spans="1:32" x14ac:dyDescent="0.25">
      <c r="A5" s="2" t="s">
        <v>51</v>
      </c>
      <c r="B5" s="2" t="s">
        <v>52</v>
      </c>
      <c r="C5" s="2" t="s">
        <v>53</v>
      </c>
      <c r="D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45913.388402777775</v>
      </c>
      <c r="E5" s="2" t="s">
        <v>35</v>
      </c>
      <c r="F5" s="2" t="s">
        <v>54</v>
      </c>
      <c r="G5" s="2" t="s">
        <v>55</v>
      </c>
      <c r="H5"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45916.775219907409</v>
      </c>
      <c r="I5" s="2" t="s">
        <v>23</v>
      </c>
      <c r="J5" s="2" t="s">
        <v>23</v>
      </c>
      <c r="K5" s="2" t="s">
        <v>56</v>
      </c>
      <c r="L5" s="2" t="s">
        <v>57</v>
      </c>
      <c r="M5" s="2" t="s">
        <v>58</v>
      </c>
      <c r="N5" s="2" t="s">
        <v>59</v>
      </c>
      <c r="O5" s="2" t="s">
        <v>41</v>
      </c>
      <c r="P5" s="2" t="s">
        <v>60</v>
      </c>
      <c r="Q5" s="3">
        <v>1</v>
      </c>
      <c r="R5" s="2" t="s">
        <v>30</v>
      </c>
      <c r="S5" s="2" t="s">
        <v>31</v>
      </c>
      <c r="T5" s="2" t="str">
        <f>IF(OR(NPS_Data[[#This Row],[CreatedDateTime]]="",NPS_Data[[#This Row],[Assigned To]]="",NPS_Data[[#This Row],[Issue 2 - NPS]]="",NPS_Data[[#This Row],[Program Name]]=""),"Missing","OK")</f>
        <v>OK</v>
      </c>
      <c r="U5" s="2" t="str">
        <f>IF(
  AND(NPS_Data[[#This Row],[Status]]="Complete", OR(ISNA(NPS_Data[[#This Row],[ResolvedDateTime]]), ISBLANK(NPS_Data[[#This Row],[ResolvedDateTime]]))),
  "CompleteNoResolved",
  IF(
    AND(NPS_Data[[#This Row],[Status]]="Pending", NPS_Data[[#This Row],[Sub Status]]="Solved"),
    "PendingButSolved",
    "OK"
  )
)</f>
        <v>OK</v>
      </c>
      <c r="V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5" s="2" t="str">
        <f>IFERROR(TRIM(CLEAN(NPS_Data[[#This Row],[Ticket All Remarks]])),"")</f>
        <v>Live sessions scheduled during US client calls for IT professionals. 2-6 PM IST overlaps with standup meetings and client presentations. Need flexible timing. || Resolution: Added recorded session options and weekend makeup classes</v>
      </c>
      <c r="X5" s="2" cm="1">
        <f t="array" aca="1" ref="X5" ca="1">IF(NPS_Data[[#This Row],[CleanRemark]]="","",
   SUMPRODUCT(CODE(MID(NPS_Data[[#This Row],[CleanRemark]],ROW(INDIRECT("1:"&amp;LEN(NPS_Data[[#This Row],[CleanRemark]]))),1))))</f>
        <v>21689</v>
      </c>
      <c r="Y5" s="2" t="str">
        <f>IF(COUNTIF(NPS_Data[Ticket No],NPS_Data[[#This Row],[Ticket No]])&gt;1,"Duplicate","OK")</f>
        <v>OK</v>
      </c>
      <c r="Z5" s="2" t="str">
        <f ca="1">IF(NPS_Data[[#This Row],[RemarkHash]]="","OK",
   IF(COUNTIF(NPS_Data[RemarkHash],NPS_Data[[#This Row],[RemarkHash]])&gt;1,"RepeatedRemark","OK"))</f>
        <v>OK</v>
      </c>
      <c r="AA5" s="17">
        <f>IF( AND( ISNUMBER(NPS_Data[[#This Row],[CreatedDateTime]]), ISNUMBER(NPS_Data[[#This Row],[ResolvedDateTime]]) ), (NPS_Data[[#This Row],[ResolvedDateTime]] - NPS_Data[[#This Row],[CreatedDateTime]]) * 24, 0 )</f>
        <v>81.283611111226492</v>
      </c>
      <c r="AB5" s="65" t="str">
        <f>IF(NOT(ISNA(NPS_Data[[#This Row],[CreatedDateTime]])),
   YEAR(NPS_Data[[#This Row],[CreatedDateTime]]) &amp; "-" &amp; TEXT(WEEKNUM(NPS_Data[[#This Row],[CreatedDateTime]],2),"00"),
   "")</f>
        <v>2025-37</v>
      </c>
      <c r="AC5" s="14" t="str">
        <f>IF(NOT(ISNA(NPS_Data[[#This Row],[CreatedDateTime]])), TEXT(NPS_Data[[#This Row],[CreatedDateTime]],"YYYY-MM"), "")</f>
        <v>2025-09</v>
      </c>
      <c r="AD5" s="14" t="str">
        <f>IF(NOT(ISNUMBER(NPS_Data[[#This Row],[ResolutionHours]])),"Open", IF(NPS_Data[[#This Row],[ResolutionHours]]&gt;72,"Breach","OK"))</f>
        <v>Breach</v>
      </c>
      <c r="AE5" s="14">
        <f>IF(AND(ISNUMBER(NPS_Data[[#This Row],[CreatedDateTime]]), ISNUMBER(NPS_Data[[#This Row],[ResolvedDateTime]])), 1, 0)</f>
        <v>1</v>
      </c>
      <c r="AF5" s="48" t="str">
        <f>IF(NOT(ISNA(NPS_Data[[#This Row],[CreatedDateTime]])), TEXT(NPS_Data[[#This Row],[CreatedDateTime]],"dddd"), "")</f>
        <v>Saturday</v>
      </c>
    </row>
    <row r="6" spans="1:32" x14ac:dyDescent="0.25">
      <c r="A6" s="2" t="s">
        <v>61</v>
      </c>
      <c r="B6" s="2" t="s">
        <v>52</v>
      </c>
      <c r="C6" s="2" t="s">
        <v>62</v>
      </c>
      <c r="D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45913.530081018522</v>
      </c>
      <c r="E6" s="2" t="s">
        <v>35</v>
      </c>
      <c r="F6" s="2" t="s">
        <v>63</v>
      </c>
      <c r="G6" s="2" t="s">
        <v>64</v>
      </c>
      <c r="H6"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45921.487557870372</v>
      </c>
      <c r="I6" s="2" t="s">
        <v>23</v>
      </c>
      <c r="J6" s="2" t="s">
        <v>23</v>
      </c>
      <c r="K6" s="2" t="s">
        <v>24</v>
      </c>
      <c r="L6" s="2" t="s">
        <v>65</v>
      </c>
      <c r="M6" s="2" t="s">
        <v>66</v>
      </c>
      <c r="N6" s="2" t="s">
        <v>67</v>
      </c>
      <c r="O6" s="2" t="s">
        <v>48</v>
      </c>
      <c r="P6" s="2" t="s">
        <v>68</v>
      </c>
      <c r="Q6" s="3">
        <v>8</v>
      </c>
      <c r="R6" s="2" t="s">
        <v>30</v>
      </c>
      <c r="S6" s="2" t="s">
        <v>31</v>
      </c>
      <c r="T6" s="2" t="str">
        <f>IF(OR(NPS_Data[[#This Row],[CreatedDateTime]]="",NPS_Data[[#This Row],[Assigned To]]="",NPS_Data[[#This Row],[Issue 2 - NPS]]="",NPS_Data[[#This Row],[Program Name]]=""),"Missing","OK")</f>
        <v>OK</v>
      </c>
      <c r="U6" s="2" t="str">
        <f>IF(
  AND(NPS_Data[[#This Row],[Status]]="Complete", OR(ISNA(NPS_Data[[#This Row],[ResolvedDateTime]]), ISBLANK(NPS_Data[[#This Row],[ResolvedDateTime]]))),
  "CompleteNoResolved",
  IF(
    AND(NPS_Data[[#This Row],[Status]]="Pending", NPS_Data[[#This Row],[Sub Status]]="Solved"),
    "PendingButSolved",
    "OK"
  )
)</f>
        <v>OK</v>
      </c>
      <c r="V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6" s="2" t="str">
        <f>IFERROR(TRIM(CLEAN(NPS_Data[[#This Row],[Ticket All Remarks]])),"")</f>
        <v>Told course would take 6 months but curriculum actually requires 10+ months for completion. Time commitment significantly underestimated. || Resolution: Updated course duration estimates and provided realistic timeline planning</v>
      </c>
      <c r="X6" s="2" cm="1">
        <f t="array" aca="1" ref="X6" ca="1">IF(NPS_Data[[#This Row],[CleanRemark]]="","",
   SUMPRODUCT(CODE(MID(NPS_Data[[#This Row],[CleanRemark]],ROW(INDIRECT("1:"&amp;LEN(NPS_Data[[#This Row],[CleanRemark]]))),1))))</f>
        <v>21945</v>
      </c>
      <c r="Y6" s="2" t="str">
        <f>IF(COUNTIF(NPS_Data[Ticket No],NPS_Data[[#This Row],[Ticket No]])&gt;1,"Duplicate","OK")</f>
        <v>OK</v>
      </c>
      <c r="Z6" s="2" t="str">
        <f ca="1">IF(NPS_Data[[#This Row],[RemarkHash]]="","OK",
   IF(COUNTIF(NPS_Data[RemarkHash],NPS_Data[[#This Row],[RemarkHash]])&gt;1,"RepeatedRemark","OK"))</f>
        <v>RepeatedRemark</v>
      </c>
      <c r="AA6" s="17">
        <f>IF( AND( ISNUMBER(NPS_Data[[#This Row],[CreatedDateTime]]), ISNUMBER(NPS_Data[[#This Row],[ResolvedDateTime]]) ), (NPS_Data[[#This Row],[ResolvedDateTime]] - NPS_Data[[#This Row],[CreatedDateTime]]) * 24, 0 )</f>
        <v>190.97944444441237</v>
      </c>
      <c r="AB6" s="65" t="str">
        <f>IF(NOT(ISNA(NPS_Data[[#This Row],[CreatedDateTime]])),
   YEAR(NPS_Data[[#This Row],[CreatedDateTime]]) &amp; "-" &amp; TEXT(WEEKNUM(NPS_Data[[#This Row],[CreatedDateTime]],2),"00"),
   "")</f>
        <v>2025-37</v>
      </c>
      <c r="AC6" s="14" t="str">
        <f>IF(NOT(ISNA(NPS_Data[[#This Row],[CreatedDateTime]])), TEXT(NPS_Data[[#This Row],[CreatedDateTime]],"YYYY-MM"), "")</f>
        <v>2025-09</v>
      </c>
      <c r="AD6" s="14" t="str">
        <f>IF(NOT(ISNUMBER(NPS_Data[[#This Row],[ResolutionHours]])),"Open", IF(NPS_Data[[#This Row],[ResolutionHours]]&gt;72,"Breach","OK"))</f>
        <v>Breach</v>
      </c>
      <c r="AE6" s="14">
        <f>IF(AND(ISNUMBER(NPS_Data[[#This Row],[CreatedDateTime]]), ISNUMBER(NPS_Data[[#This Row],[ResolvedDateTime]])), 1, 0)</f>
        <v>1</v>
      </c>
      <c r="AF6" s="48" t="str">
        <f>IF(NOT(ISNA(NPS_Data[[#This Row],[CreatedDateTime]])), TEXT(NPS_Data[[#This Row],[CreatedDateTime]],"dddd"), "")</f>
        <v>Saturday</v>
      </c>
    </row>
    <row r="7" spans="1:32" x14ac:dyDescent="0.25">
      <c r="A7" s="2" t="s">
        <v>69</v>
      </c>
      <c r="B7" s="2" t="s">
        <v>21</v>
      </c>
      <c r="C7" s="2" t="s">
        <v>70</v>
      </c>
      <c r="D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45899.635520833333</v>
      </c>
      <c r="E7" s="2" t="s">
        <v>71</v>
      </c>
      <c r="F7" s="2" t="s">
        <v>72</v>
      </c>
      <c r="G7" s="2" t="s">
        <v>73</v>
      </c>
      <c r="H7"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45910.75885416667</v>
      </c>
      <c r="I7" s="2" t="s">
        <v>23</v>
      </c>
      <c r="J7" s="2" t="s">
        <v>23</v>
      </c>
      <c r="K7" s="2" t="s">
        <v>56</v>
      </c>
      <c r="L7" s="2" t="s">
        <v>74</v>
      </c>
      <c r="M7" s="2" t="s">
        <v>75</v>
      </c>
      <c r="N7" s="2" t="s">
        <v>76</v>
      </c>
      <c r="O7" s="2" t="s">
        <v>41</v>
      </c>
      <c r="P7" s="2" t="s">
        <v>60</v>
      </c>
      <c r="Q7" s="3">
        <v>2</v>
      </c>
      <c r="R7" s="2" t="s">
        <v>30</v>
      </c>
      <c r="S7" s="2" t="s">
        <v>31</v>
      </c>
      <c r="T7" s="2" t="str">
        <f>IF(OR(NPS_Data[[#This Row],[CreatedDateTime]]="",NPS_Data[[#This Row],[Assigned To]]="",NPS_Data[[#This Row],[Issue 2 - NPS]]="",NPS_Data[[#This Row],[Program Name]]=""),"Missing","OK")</f>
        <v>OK</v>
      </c>
      <c r="U7" s="2" t="str">
        <f>IF(
  AND(NPS_Data[[#This Row],[Status]]="Complete", OR(ISNA(NPS_Data[[#This Row],[ResolvedDateTime]]), ISBLANK(NPS_Data[[#This Row],[ResolvedDateTime]]))),
  "CompleteNoResolved",
  IF(
    AND(NPS_Data[[#This Row],[Status]]="Pending", NPS_Data[[#This Row],[Sub Status]]="Solved"),
    "PendingButSolved",
    "OK"
  )
)</f>
        <v>OK</v>
      </c>
      <c r="V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7" s="2" t="str">
        <f>IFERROR(TRIM(CLEAN(NPS_Data[[#This Row],[Ticket All Remarks]])),"")</f>
        <v>Morning Academy Jul25 Intermediate (9 AM - 12 PM) conflicts with Infosys office hours. Requested evening transfer 5 times over 2 months but no response from counseling team. || Resolution: Immediately transferred to 7-10 PM evening Academy Jul25 Intermediate with same instructor</v>
      </c>
      <c r="X7" s="2" cm="1">
        <f t="array" aca="1" ref="X7" ca="1">IF(NPS_Data[[#This Row],[CleanRemark]]="","",
   SUMPRODUCT(CODE(MID(NPS_Data[[#This Row],[CleanRemark]],ROW(INDIRECT("1:"&amp;LEN(NPS_Data[[#This Row],[CleanRemark]]))),1))))</f>
        <v>25434</v>
      </c>
      <c r="Y7" s="2" t="str">
        <f>IF(COUNTIF(NPS_Data[Ticket No],NPS_Data[[#This Row],[Ticket No]])&gt;1,"Duplicate","OK")</f>
        <v>OK</v>
      </c>
      <c r="Z7" s="2" t="str">
        <f ca="1">IF(NPS_Data[[#This Row],[RemarkHash]]="","OK",
   IF(COUNTIF(NPS_Data[RemarkHash],NPS_Data[[#This Row],[RemarkHash]])&gt;1,"RepeatedRemark","OK"))</f>
        <v>OK</v>
      </c>
      <c r="AA7" s="17">
        <f>IF( AND( ISNUMBER(NPS_Data[[#This Row],[CreatedDateTime]]), ISNUMBER(NPS_Data[[#This Row],[ResolvedDateTime]]) ), (NPS_Data[[#This Row],[ResolvedDateTime]] - NPS_Data[[#This Row],[CreatedDateTime]]) * 24, 0 )</f>
        <v>266.96000000007916</v>
      </c>
      <c r="AB7" s="65" t="str">
        <f>IF(NOT(ISNA(NPS_Data[[#This Row],[CreatedDateTime]])),
   YEAR(NPS_Data[[#This Row],[CreatedDateTime]]) &amp; "-" &amp; TEXT(WEEKNUM(NPS_Data[[#This Row],[CreatedDateTime]],2),"00"),
   "")</f>
        <v>2025-35</v>
      </c>
      <c r="AC7" s="14" t="str">
        <f>IF(NOT(ISNA(NPS_Data[[#This Row],[CreatedDateTime]])), TEXT(NPS_Data[[#This Row],[CreatedDateTime]],"YYYY-MM"), "")</f>
        <v>2025-08</v>
      </c>
      <c r="AD7" s="14" t="str">
        <f>IF(NOT(ISNUMBER(NPS_Data[[#This Row],[ResolutionHours]])),"Open", IF(NPS_Data[[#This Row],[ResolutionHours]]&gt;72,"Breach","OK"))</f>
        <v>Breach</v>
      </c>
      <c r="AE7" s="14">
        <f>IF(AND(ISNUMBER(NPS_Data[[#This Row],[CreatedDateTime]]), ISNUMBER(NPS_Data[[#This Row],[ResolvedDateTime]])), 1, 0)</f>
        <v>1</v>
      </c>
      <c r="AF7" s="48" t="str">
        <f>IF(NOT(ISNA(NPS_Data[[#This Row],[CreatedDateTime]])), TEXT(NPS_Data[[#This Row],[CreatedDateTime]],"dddd"), "")</f>
        <v>Saturday</v>
      </c>
    </row>
    <row r="8" spans="1:32" x14ac:dyDescent="0.25">
      <c r="A8" s="2" t="s">
        <v>77</v>
      </c>
      <c r="B8" s="2" t="s">
        <v>78</v>
      </c>
      <c r="C8" s="2" t="s">
        <v>79</v>
      </c>
      <c r="D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45903.696215277778</v>
      </c>
      <c r="E8" s="2" t="s">
        <v>80</v>
      </c>
      <c r="F8" s="2" t="s">
        <v>36</v>
      </c>
      <c r="G8" s="2" t="s">
        <v>81</v>
      </c>
      <c r="H8"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45912.540902777779</v>
      </c>
      <c r="I8" s="2" t="s">
        <v>23</v>
      </c>
      <c r="J8" s="2" t="s">
        <v>23</v>
      </c>
      <c r="K8" s="2" t="s">
        <v>56</v>
      </c>
      <c r="L8" s="2" t="s">
        <v>82</v>
      </c>
      <c r="M8" s="2" t="s">
        <v>83</v>
      </c>
      <c r="N8" s="2" t="s">
        <v>67</v>
      </c>
      <c r="O8" s="2" t="s">
        <v>28</v>
      </c>
      <c r="P8" s="2" t="s">
        <v>68</v>
      </c>
      <c r="Q8" s="3">
        <v>9</v>
      </c>
      <c r="R8" s="2" t="s">
        <v>30</v>
      </c>
      <c r="S8" s="2" t="s">
        <v>31</v>
      </c>
      <c r="T8" s="2" t="str">
        <f>IF(OR(NPS_Data[[#This Row],[CreatedDateTime]]="",NPS_Data[[#This Row],[Assigned To]]="",NPS_Data[[#This Row],[Issue 2 - NPS]]="",NPS_Data[[#This Row],[Program Name]]=""),"Missing","OK")</f>
        <v>OK</v>
      </c>
      <c r="U8" s="2" t="str">
        <f>IF(
  AND(NPS_Data[[#This Row],[Status]]="Complete", OR(ISNA(NPS_Data[[#This Row],[ResolvedDateTime]]), ISBLANK(NPS_Data[[#This Row],[ResolvedDateTime]]))),
  "CompleteNoResolved",
  IF(
    AND(NPS_Data[[#This Row],[Status]]="Pending", NPS_Data[[#This Row],[Sub Status]]="Solved"),
    "PendingButSolved",
    "OK"
  )
)</f>
        <v>OK</v>
      </c>
      <c r="V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8" s="2" t="str">
        <f>IFERROR(TRIM(CLEAN(NPS_Data[[#This Row],[Ticket All Remarks]])),"")</f>
        <v>Told course would take 6 months but curriculum actually requires 10+ months for completion. Time commitment significantly underestimated. || Resolution: Updated course duration estimates and provided realistic timeline planning</v>
      </c>
      <c r="X8" s="2" cm="1">
        <f t="array" aca="1" ref="X8" ca="1">IF(NPS_Data[[#This Row],[CleanRemark]]="","",
   SUMPRODUCT(CODE(MID(NPS_Data[[#This Row],[CleanRemark]],ROW(INDIRECT("1:"&amp;LEN(NPS_Data[[#This Row],[CleanRemark]]))),1))))</f>
        <v>21945</v>
      </c>
      <c r="Y8" s="2" t="str">
        <f>IF(COUNTIF(NPS_Data[Ticket No],NPS_Data[[#This Row],[Ticket No]])&gt;1,"Duplicate","OK")</f>
        <v>OK</v>
      </c>
      <c r="Z8" s="2" t="str">
        <f ca="1">IF(NPS_Data[[#This Row],[RemarkHash]]="","OK",
   IF(COUNTIF(NPS_Data[RemarkHash],NPS_Data[[#This Row],[RemarkHash]])&gt;1,"RepeatedRemark","OK"))</f>
        <v>RepeatedRemark</v>
      </c>
      <c r="AA8" s="17">
        <f>IF( AND( ISNUMBER(NPS_Data[[#This Row],[CreatedDateTime]]), ISNUMBER(NPS_Data[[#This Row],[ResolvedDateTime]]) ), (NPS_Data[[#This Row],[ResolvedDateTime]] - NPS_Data[[#This Row],[CreatedDateTime]]) * 24, 0 )</f>
        <v>212.27250000002095</v>
      </c>
      <c r="AB8" s="65" t="str">
        <f>IF(NOT(ISNA(NPS_Data[[#This Row],[CreatedDateTime]])),
   YEAR(NPS_Data[[#This Row],[CreatedDateTime]]) &amp; "-" &amp; TEXT(WEEKNUM(NPS_Data[[#This Row],[CreatedDateTime]],2),"00"),
   "")</f>
        <v>2025-36</v>
      </c>
      <c r="AC8" s="14" t="str">
        <f>IF(NOT(ISNA(NPS_Data[[#This Row],[CreatedDateTime]])), TEXT(NPS_Data[[#This Row],[CreatedDateTime]],"YYYY-MM"), "")</f>
        <v>2025-09</v>
      </c>
      <c r="AD8" s="14" t="str">
        <f>IF(NOT(ISNUMBER(NPS_Data[[#This Row],[ResolutionHours]])),"Open", IF(NPS_Data[[#This Row],[ResolutionHours]]&gt;72,"Breach","OK"))</f>
        <v>Breach</v>
      </c>
      <c r="AE8" s="14">
        <f>IF(AND(ISNUMBER(NPS_Data[[#This Row],[CreatedDateTime]]), ISNUMBER(NPS_Data[[#This Row],[ResolvedDateTime]])), 1, 0)</f>
        <v>1</v>
      </c>
      <c r="AF8" s="48" t="str">
        <f>IF(NOT(ISNA(NPS_Data[[#This Row],[CreatedDateTime]])), TEXT(NPS_Data[[#This Row],[CreatedDateTime]],"dddd"), "")</f>
        <v>Wednesday</v>
      </c>
    </row>
    <row r="9" spans="1:32" x14ac:dyDescent="0.25">
      <c r="A9" s="2" t="s">
        <v>84</v>
      </c>
      <c r="B9" s="2" t="s">
        <v>85</v>
      </c>
      <c r="C9" s="2" t="s">
        <v>86</v>
      </c>
      <c r="D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45897.871874999997</v>
      </c>
      <c r="E9" s="2" t="s">
        <v>87</v>
      </c>
      <c r="H9"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9" s="2" t="s">
        <v>23</v>
      </c>
      <c r="J9" s="2" t="s">
        <v>23</v>
      </c>
      <c r="K9" s="2" t="s">
        <v>88</v>
      </c>
      <c r="L9" s="2" t="s">
        <v>89</v>
      </c>
      <c r="M9" s="2" t="s">
        <v>90</v>
      </c>
      <c r="N9" s="2" t="s">
        <v>91</v>
      </c>
      <c r="O9" s="2" t="s">
        <v>41</v>
      </c>
      <c r="P9" s="2" t="s">
        <v>92</v>
      </c>
      <c r="Q9" s="3">
        <v>3</v>
      </c>
      <c r="R9" s="2" t="s">
        <v>49</v>
      </c>
      <c r="S9" s="2" t="s">
        <v>50</v>
      </c>
      <c r="T9" s="2" t="str">
        <f>IF(OR(NPS_Data[[#This Row],[CreatedDateTime]]="",NPS_Data[[#This Row],[Assigned To]]="",NPS_Data[[#This Row],[Issue 2 - NPS]]="",NPS_Data[[#This Row],[Program Name]]=""),"Missing","OK")</f>
        <v>OK</v>
      </c>
      <c r="U9" s="2" t="str">
        <f>IF(
  AND(NPS_Data[[#This Row],[Status]]="Complete", OR(ISNA(NPS_Data[[#This Row],[ResolvedDateTime]]), ISBLANK(NPS_Data[[#This Row],[ResolvedDateTime]]))),
  "CompleteNoResolved",
  IF(
    AND(NPS_Data[[#This Row],[Status]]="Pending", NPS_Data[[#This Row],[Sub Status]]="Solved"),
    "PendingButSolved",
    "OK"
  )
)</f>
        <v>OK</v>
      </c>
      <c r="V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9" s="2" t="str">
        <f>IFERROR(TRIM(CLEAN(NPS_Data[[#This Row],[Ticket All Remarks]])),"")</f>
        <v>Considering career break for higher studies (MS abroad). Need advice on timing, university selection, and maintaining professional network during studies. || Resolution: Provided comprehensive higher education guidance and alumni connections</v>
      </c>
      <c r="X9" s="2" cm="1">
        <f t="array" aca="1" ref="X9" ca="1">IF(NPS_Data[[#This Row],[CleanRemark]]="","",
   SUMPRODUCT(CODE(MID(NPS_Data[[#This Row],[CleanRemark]],ROW(INDIRECT("1:"&amp;LEN(NPS_Data[[#This Row],[CleanRemark]]))),1))))</f>
        <v>23075</v>
      </c>
      <c r="Y9" s="2" t="str">
        <f>IF(COUNTIF(NPS_Data[Ticket No],NPS_Data[[#This Row],[Ticket No]])&gt;1,"Duplicate","OK")</f>
        <v>OK</v>
      </c>
      <c r="Z9" s="2" t="str">
        <f ca="1">IF(NPS_Data[[#This Row],[RemarkHash]]="","OK",
   IF(COUNTIF(NPS_Data[RemarkHash],NPS_Data[[#This Row],[RemarkHash]])&gt;1,"RepeatedRemark","OK"))</f>
        <v>RepeatedRemark</v>
      </c>
      <c r="AA9" s="17">
        <f>IF( AND( ISNUMBER(NPS_Data[[#This Row],[CreatedDateTime]]), ISNUMBER(NPS_Data[[#This Row],[ResolvedDateTime]]) ), (NPS_Data[[#This Row],[ResolvedDateTime]] - NPS_Data[[#This Row],[CreatedDateTime]]) * 24, 0 )</f>
        <v>0</v>
      </c>
      <c r="AB9" s="65" t="str">
        <f>IF(NOT(ISNA(NPS_Data[[#This Row],[CreatedDateTime]])),
   YEAR(NPS_Data[[#This Row],[CreatedDateTime]]) &amp; "-" &amp; TEXT(WEEKNUM(NPS_Data[[#This Row],[CreatedDateTime]],2),"00"),
   "")</f>
        <v>2025-35</v>
      </c>
      <c r="AC9" s="14" t="str">
        <f>IF(NOT(ISNA(NPS_Data[[#This Row],[CreatedDateTime]])), TEXT(NPS_Data[[#This Row],[CreatedDateTime]],"YYYY-MM"), "")</f>
        <v>2025-08</v>
      </c>
      <c r="AD9" s="14" t="str">
        <f>IF(NOT(ISNUMBER(NPS_Data[[#This Row],[ResolutionHours]])),"Open", IF(NPS_Data[[#This Row],[ResolutionHours]]&gt;72,"Breach","OK"))</f>
        <v>OK</v>
      </c>
      <c r="AE9" s="14">
        <f>IF(AND(ISNUMBER(NPS_Data[[#This Row],[CreatedDateTime]]), ISNUMBER(NPS_Data[[#This Row],[ResolvedDateTime]])), 1, 0)</f>
        <v>0</v>
      </c>
      <c r="AF9" s="48" t="str">
        <f>IF(NOT(ISNA(NPS_Data[[#This Row],[CreatedDateTime]])), TEXT(NPS_Data[[#This Row],[CreatedDateTime]],"dddd"), "")</f>
        <v>Thursday</v>
      </c>
    </row>
    <row r="10" spans="1:32" x14ac:dyDescent="0.25">
      <c r="A10" s="2" t="s">
        <v>93</v>
      </c>
      <c r="B10" s="2" t="s">
        <v>94</v>
      </c>
      <c r="C10" s="2" t="s">
        <v>95</v>
      </c>
      <c r="D1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45901.597881944443</v>
      </c>
      <c r="E10" s="2" t="s">
        <v>80</v>
      </c>
      <c r="F10" s="2" t="s">
        <v>96</v>
      </c>
      <c r="G10" s="2" t="s">
        <v>97</v>
      </c>
      <c r="H10"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45906.669965277775</v>
      </c>
      <c r="I10" s="2" t="s">
        <v>23</v>
      </c>
      <c r="J10" s="2" t="s">
        <v>23</v>
      </c>
      <c r="K10" s="2" t="s">
        <v>88</v>
      </c>
      <c r="L10" s="2" t="s">
        <v>98</v>
      </c>
      <c r="M10" s="2" t="s">
        <v>99</v>
      </c>
      <c r="N10" s="2" t="s">
        <v>100</v>
      </c>
      <c r="O10" s="2" t="s">
        <v>48</v>
      </c>
      <c r="P10" s="2" t="s">
        <v>68</v>
      </c>
      <c r="Q10" s="3">
        <v>4</v>
      </c>
      <c r="R10" s="2" t="s">
        <v>30</v>
      </c>
      <c r="S10" s="2" t="s">
        <v>31</v>
      </c>
      <c r="T10" s="2" t="str">
        <f>IF(OR(NPS_Data[[#This Row],[CreatedDateTime]]="",NPS_Data[[#This Row],[Assigned To]]="",NPS_Data[[#This Row],[Issue 2 - NPS]]="",NPS_Data[[#This Row],[Program Name]]=""),"Missing","OK")</f>
        <v>OK</v>
      </c>
      <c r="U10" s="2" t="str">
        <f>IF(
  AND(NPS_Data[[#This Row],[Status]]="Complete", OR(ISNA(NPS_Data[[#This Row],[ResolvedDateTime]]), ISBLANK(NPS_Data[[#This Row],[ResolvedDateTime]]))),
  "CompleteNoResolved",
  IF(
    AND(NPS_Data[[#This Row],[Status]]="Pending", NPS_Data[[#This Row],[Sub Status]]="Solved"),
    "PendingButSolved",
    "OK"
  )
)</f>
        <v>OK</v>
      </c>
      <c r="V1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0" s="2" t="str">
        <f>IFERROR(TRIM(CLEAN(NPS_Data[[#This Row],[Ticket All Remarks]])),"")</f>
        <v>Sales promised 100% job guarantee within 6 months but placement team says no such commitment exists. Feel misled about course outcomes. || Resolution: Clarified placement support terms and provided additional career assistance</v>
      </c>
      <c r="X10" s="2" cm="1">
        <f t="array" aca="1" ref="X10" ca="1">IF(NPS_Data[[#This Row],[CleanRemark]]="","",
   SUMPRODUCT(CODE(MID(NPS_Data[[#This Row],[CleanRemark]],ROW(INDIRECT("1:"&amp;LEN(NPS_Data[[#This Row],[CleanRemark]]))),1))))</f>
        <v>21446</v>
      </c>
      <c r="Y10" s="2" t="str">
        <f>IF(COUNTIF(NPS_Data[Ticket No],NPS_Data[[#This Row],[Ticket No]])&gt;1,"Duplicate","OK")</f>
        <v>OK</v>
      </c>
      <c r="Z10" s="2" t="str">
        <f ca="1">IF(NPS_Data[[#This Row],[RemarkHash]]="","OK",
   IF(COUNTIF(NPS_Data[RemarkHash],NPS_Data[[#This Row],[RemarkHash]])&gt;1,"RepeatedRemark","OK"))</f>
        <v>RepeatedRemark</v>
      </c>
      <c r="AA10" s="17">
        <f>IF( AND( ISNUMBER(NPS_Data[[#This Row],[CreatedDateTime]]), ISNUMBER(NPS_Data[[#This Row],[ResolvedDateTime]]) ), (NPS_Data[[#This Row],[ResolvedDateTime]] - NPS_Data[[#This Row],[CreatedDateTime]]) * 24, 0 )</f>
        <v>121.72999999998137</v>
      </c>
      <c r="AB10" s="65" t="str">
        <f>IF(NOT(ISNA(NPS_Data[[#This Row],[CreatedDateTime]])),
   YEAR(NPS_Data[[#This Row],[CreatedDateTime]]) &amp; "-" &amp; TEXT(WEEKNUM(NPS_Data[[#This Row],[CreatedDateTime]],2),"00"),
   "")</f>
        <v>2025-36</v>
      </c>
      <c r="AC10" s="14" t="str">
        <f>IF(NOT(ISNA(NPS_Data[[#This Row],[CreatedDateTime]])), TEXT(NPS_Data[[#This Row],[CreatedDateTime]],"YYYY-MM"), "")</f>
        <v>2025-09</v>
      </c>
      <c r="AD10" s="14" t="str">
        <f>IF(NOT(ISNUMBER(NPS_Data[[#This Row],[ResolutionHours]])),"Open", IF(NPS_Data[[#This Row],[ResolutionHours]]&gt;72,"Breach","OK"))</f>
        <v>Breach</v>
      </c>
      <c r="AE10" s="14">
        <f>IF(AND(ISNUMBER(NPS_Data[[#This Row],[CreatedDateTime]]), ISNUMBER(NPS_Data[[#This Row],[ResolvedDateTime]])), 1, 0)</f>
        <v>1</v>
      </c>
      <c r="AF10" s="48" t="str">
        <f>IF(NOT(ISNA(NPS_Data[[#This Row],[CreatedDateTime]])), TEXT(NPS_Data[[#This Row],[CreatedDateTime]],"dddd"), "")</f>
        <v>Monday</v>
      </c>
    </row>
    <row r="11" spans="1:32" x14ac:dyDescent="0.25">
      <c r="A11" s="2" t="s">
        <v>101</v>
      </c>
      <c r="B11" s="2" t="s">
        <v>102</v>
      </c>
      <c r="C11" s="2" t="s">
        <v>103</v>
      </c>
      <c r="D1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45915.384641203702</v>
      </c>
      <c r="E11" s="2" t="s">
        <v>104</v>
      </c>
      <c r="F11" s="2" t="s">
        <v>105</v>
      </c>
      <c r="G11" s="2" t="s">
        <v>106</v>
      </c>
      <c r="H11"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45922.639976851853</v>
      </c>
      <c r="I11" s="2" t="s">
        <v>23</v>
      </c>
      <c r="J11" s="2" t="s">
        <v>23</v>
      </c>
      <c r="K11" s="2" t="s">
        <v>56</v>
      </c>
      <c r="L11" s="2" t="s">
        <v>107</v>
      </c>
      <c r="M11" s="2" t="s">
        <v>108</v>
      </c>
      <c r="N11" s="2" t="s">
        <v>109</v>
      </c>
      <c r="O11" s="2" t="s">
        <v>41</v>
      </c>
      <c r="P11" s="2" t="s">
        <v>60</v>
      </c>
      <c r="Q11" s="3">
        <v>6</v>
      </c>
      <c r="R11" s="2" t="s">
        <v>30</v>
      </c>
      <c r="S11" s="2" t="s">
        <v>31</v>
      </c>
      <c r="T11" s="2" t="str">
        <f>IF(OR(NPS_Data[[#This Row],[CreatedDateTime]]="",NPS_Data[[#This Row],[Assigned To]]="",NPS_Data[[#This Row],[Issue 2 - NPS]]="",NPS_Data[[#This Row],[Program Name]]=""),"Missing","OK")</f>
        <v>OK</v>
      </c>
      <c r="U11" s="2" t="str">
        <f>IF(
  AND(NPS_Data[[#This Row],[Status]]="Complete", OR(ISNA(NPS_Data[[#This Row],[ResolvedDateTime]]), ISBLANK(NPS_Data[[#This Row],[ResolvedDateTime]]))),
  "CompleteNoResolved",
  IF(
    AND(NPS_Data[[#This Row],[Status]]="Pending", NPS_Data[[#This Row],[Sub Status]]="Solved"),
    "PendingButSolved",
    "OK"
  )
)</f>
        <v>OK</v>
      </c>
      <c r="V1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1" s="2" t="str">
        <f>IFERROR(TRIM(CLEAN(NPS_Data[[#This Row],[Ticket All Remarks]])),"")</f>
        <v>DevOps AIML Jul25 has 220+ students making doubt sessions chaotic. Individual questions take 15+ minutes to address. Class extends to 4+ hours regularly. || Resolution: Split into 2 parallel AIML Jul25es and assigned dedicated TA support</v>
      </c>
      <c r="X11" s="2" cm="1">
        <f t="array" aca="1" ref="X11" ca="1">IF(NPS_Data[[#This Row],[CleanRemark]]="","",
   SUMPRODUCT(CODE(MID(NPS_Data[[#This Row],[CleanRemark]],ROW(INDIRECT("1:"&amp;LEN(NPS_Data[[#This Row],[CleanRemark]]))),1))))</f>
        <v>21377</v>
      </c>
      <c r="Y11" s="2" t="str">
        <f>IF(COUNTIF(NPS_Data[Ticket No],NPS_Data[[#This Row],[Ticket No]])&gt;1,"Duplicate","OK")</f>
        <v>OK</v>
      </c>
      <c r="Z11" s="2" t="str">
        <f ca="1">IF(NPS_Data[[#This Row],[RemarkHash]]="","OK",
   IF(COUNTIF(NPS_Data[RemarkHash],NPS_Data[[#This Row],[RemarkHash]])&gt;1,"RepeatedRemark","OK"))</f>
        <v>OK</v>
      </c>
      <c r="AA11" s="17">
        <f>IF( AND( ISNUMBER(NPS_Data[[#This Row],[CreatedDateTime]]), ISNUMBER(NPS_Data[[#This Row],[ResolvedDateTime]]) ), (NPS_Data[[#This Row],[ResolvedDateTime]] - NPS_Data[[#This Row],[CreatedDateTime]]) * 24, 0 )</f>
        <v>174.12805555562954</v>
      </c>
      <c r="AB11" s="65" t="str">
        <f>IF(NOT(ISNA(NPS_Data[[#This Row],[CreatedDateTime]])),
   YEAR(NPS_Data[[#This Row],[CreatedDateTime]]) &amp; "-" &amp; TEXT(WEEKNUM(NPS_Data[[#This Row],[CreatedDateTime]],2),"00"),
   "")</f>
        <v>2025-38</v>
      </c>
      <c r="AC11" s="14" t="str">
        <f>IF(NOT(ISNA(NPS_Data[[#This Row],[CreatedDateTime]])), TEXT(NPS_Data[[#This Row],[CreatedDateTime]],"YYYY-MM"), "")</f>
        <v>2025-09</v>
      </c>
      <c r="AD11" s="14" t="str">
        <f>IF(NOT(ISNUMBER(NPS_Data[[#This Row],[ResolutionHours]])),"Open", IF(NPS_Data[[#This Row],[ResolutionHours]]&gt;72,"Breach","OK"))</f>
        <v>Breach</v>
      </c>
      <c r="AE11" s="14">
        <f>IF(AND(ISNUMBER(NPS_Data[[#This Row],[CreatedDateTime]]), ISNUMBER(NPS_Data[[#This Row],[ResolvedDateTime]])), 1, 0)</f>
        <v>1</v>
      </c>
      <c r="AF11" s="48" t="str">
        <f>IF(NOT(ISNA(NPS_Data[[#This Row],[CreatedDateTime]])), TEXT(NPS_Data[[#This Row],[CreatedDateTime]],"dddd"), "")</f>
        <v>Monday</v>
      </c>
    </row>
    <row r="12" spans="1:32" x14ac:dyDescent="0.25">
      <c r="A12" s="2" t="s">
        <v>110</v>
      </c>
      <c r="B12" s="2" t="s">
        <v>111</v>
      </c>
      <c r="C12" s="2" t="s">
        <v>112</v>
      </c>
      <c r="D1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45870.866365740738</v>
      </c>
      <c r="E12" s="2" t="s">
        <v>113</v>
      </c>
      <c r="H12" s="26"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2" s="2" t="s">
        <v>23</v>
      </c>
      <c r="J12" s="2" t="s">
        <v>23</v>
      </c>
      <c r="K12" s="2" t="s">
        <v>56</v>
      </c>
      <c r="L12" s="2" t="s">
        <v>114</v>
      </c>
      <c r="M12" s="2" t="s">
        <v>115</v>
      </c>
      <c r="N12" s="2" t="s">
        <v>100</v>
      </c>
      <c r="O12" s="2" t="s">
        <v>41</v>
      </c>
      <c r="P12" s="2" t="s">
        <v>68</v>
      </c>
      <c r="Q12" s="3">
        <v>8</v>
      </c>
      <c r="R12" s="2" t="s">
        <v>49</v>
      </c>
      <c r="S12" s="2" t="s">
        <v>116</v>
      </c>
      <c r="T12" s="2" t="str">
        <f>IF(OR(NPS_Data[[#This Row],[CreatedDateTime]]="",NPS_Data[[#This Row],[Assigned To]]="",NPS_Data[[#This Row],[Issue 2 - NPS]]="",NPS_Data[[#This Row],[Program Name]]=""),"Missing","OK")</f>
        <v>OK</v>
      </c>
      <c r="U12" s="2" t="str">
        <f>IF(
  AND(NPS_Data[[#This Row],[Status]]="Complete", OR(ISNA(NPS_Data[[#This Row],[ResolvedDateTime]]), ISBLANK(NPS_Data[[#This Row],[ResolvedDateTime]]))),
  "CompleteNoResolved",
  IF(
    AND(NPS_Data[[#This Row],[Status]]="Pending", NPS_Data[[#This Row],[Sub Status]]="Solved"),
    "PendingButSolved",
    "OK"
  )
)</f>
        <v>OK</v>
      </c>
      <c r="V1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2" s="2" t="str">
        <f>IFERROR(TRIM(CLEAN(NPS_Data[[#This Row],[Ticket All Remarks]])),"")</f>
        <v>Sales promised 100% job guarantee within 6 months but placement team says no such commitment exists. Feel misled about course outcomes. || Resolution: Clarified placement support terms and provided additional career assistance</v>
      </c>
      <c r="X12" s="2" cm="1">
        <f t="array" aca="1" ref="X12" ca="1">IF(NPS_Data[[#This Row],[CleanRemark]]="","",
   SUMPRODUCT(CODE(MID(NPS_Data[[#This Row],[CleanRemark]],ROW(INDIRECT("1:"&amp;LEN(NPS_Data[[#This Row],[CleanRemark]]))),1))))</f>
        <v>21446</v>
      </c>
      <c r="Y12" s="2" t="str">
        <f>IF(COUNTIF(NPS_Data[Ticket No],NPS_Data[[#This Row],[Ticket No]])&gt;1,"Duplicate","OK")</f>
        <v>OK</v>
      </c>
      <c r="Z12" s="2" t="str">
        <f ca="1">IF(NPS_Data[[#This Row],[RemarkHash]]="","OK",
   IF(COUNTIF(NPS_Data[RemarkHash],NPS_Data[[#This Row],[RemarkHash]])&gt;1,"RepeatedRemark","OK"))</f>
        <v>RepeatedRemark</v>
      </c>
      <c r="AA12" s="17">
        <f>IF( AND( ISNUMBER(NPS_Data[[#This Row],[CreatedDateTime]]), ISNUMBER(NPS_Data[[#This Row],[ResolvedDateTime]]) ), (NPS_Data[[#This Row],[ResolvedDateTime]] - NPS_Data[[#This Row],[CreatedDateTime]]) * 24, 0 )</f>
        <v>0</v>
      </c>
      <c r="AB12" s="65" t="str">
        <f>IF(NOT(ISNA(NPS_Data[[#This Row],[CreatedDateTime]])),
   YEAR(NPS_Data[[#This Row],[CreatedDateTime]]) &amp; "-" &amp; TEXT(WEEKNUM(NPS_Data[[#This Row],[CreatedDateTime]],2),"00"),
   "")</f>
        <v>2025-31</v>
      </c>
      <c r="AC12" s="14" t="str">
        <f>IF(NOT(ISNA(NPS_Data[[#This Row],[CreatedDateTime]])), TEXT(NPS_Data[[#This Row],[CreatedDateTime]],"YYYY-MM"), "")</f>
        <v>2025-08</v>
      </c>
      <c r="AD12" s="14" t="str">
        <f>IF(NOT(ISNUMBER(NPS_Data[[#This Row],[ResolutionHours]])),"Open", IF(NPS_Data[[#This Row],[ResolutionHours]]&gt;72,"Breach","OK"))</f>
        <v>OK</v>
      </c>
      <c r="AE12" s="14">
        <f>IF(AND(ISNUMBER(NPS_Data[[#This Row],[CreatedDateTime]]), ISNUMBER(NPS_Data[[#This Row],[ResolvedDateTime]])), 1, 0)</f>
        <v>0</v>
      </c>
      <c r="AF12" s="48" t="str">
        <f>IF(NOT(ISNA(NPS_Data[[#This Row],[CreatedDateTime]])), TEXT(NPS_Data[[#This Row],[CreatedDateTime]],"dddd"), "")</f>
        <v>Friday</v>
      </c>
    </row>
    <row r="13" spans="1:32" x14ac:dyDescent="0.25">
      <c r="A13" s="2" t="s">
        <v>117</v>
      </c>
      <c r="B13" s="2" t="s">
        <v>118</v>
      </c>
      <c r="C13" s="2" t="s">
        <v>119</v>
      </c>
      <c r="D1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45871.773622685185</v>
      </c>
      <c r="E13" s="2" t="s">
        <v>104</v>
      </c>
      <c r="F13" s="2" t="s">
        <v>120</v>
      </c>
      <c r="G13" s="2" t="s">
        <v>121</v>
      </c>
      <c r="H13"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45882.657060185185</v>
      </c>
      <c r="I13" s="2" t="s">
        <v>23</v>
      </c>
      <c r="J13" s="2" t="s">
        <v>23</v>
      </c>
      <c r="K13" s="2" t="s">
        <v>24</v>
      </c>
      <c r="L13" s="2" t="s">
        <v>122</v>
      </c>
      <c r="M13" s="2" t="s">
        <v>123</v>
      </c>
      <c r="N13" s="2" t="s">
        <v>124</v>
      </c>
      <c r="O13" s="2" t="s">
        <v>41</v>
      </c>
      <c r="P13" s="2" t="s">
        <v>125</v>
      </c>
      <c r="Q13" s="3">
        <v>1</v>
      </c>
      <c r="R13" s="2" t="s">
        <v>30</v>
      </c>
      <c r="S13" s="2" t="s">
        <v>31</v>
      </c>
      <c r="T13" s="2" t="str">
        <f>IF(OR(NPS_Data[[#This Row],[CreatedDateTime]]="",NPS_Data[[#This Row],[Assigned To]]="",NPS_Data[[#This Row],[Issue 2 - NPS]]="",NPS_Data[[#This Row],[Program Name]]=""),"Missing","OK")</f>
        <v>OK</v>
      </c>
      <c r="U13" s="2" t="str">
        <f>IF(
  AND(NPS_Data[[#This Row],[Status]]="Complete", OR(ISNA(NPS_Data[[#This Row],[ResolvedDateTime]]), ISBLANK(NPS_Data[[#This Row],[ResolvedDateTime]]))),
  "CompleteNoResolved",
  IF(
    AND(NPS_Data[[#This Row],[Status]]="Pending", NPS_Data[[#This Row],[Sub Status]]="Solved"),
    "PendingButSolved",
    "OK"
  )
)</f>
        <v>OK</v>
      </c>
      <c r="V1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3" s="2" t="str">
        <f>IFERROR(TRIM(CLEAN(NPS_Data[[#This Row],[Ticket All Remarks]])),"")</f>
        <v>Multiple TAs provide conflicting solutions for same problem. Creates confusion about best practices and correct approach for implementation. || Resolution: Implemented TA training program and standardized solution guidelines</v>
      </c>
      <c r="X13" s="2" cm="1">
        <f t="array" aca="1" ref="X13" ca="1">IF(NPS_Data[[#This Row],[CleanRemark]]="","",
   SUMPRODUCT(CODE(MID(NPS_Data[[#This Row],[CleanRemark]],ROW(INDIRECT("1:"&amp;LEN(NPS_Data[[#This Row],[CleanRemark]]))),1))))</f>
        <v>21698</v>
      </c>
      <c r="Y13" s="2" t="str">
        <f>IF(COUNTIF(NPS_Data[Ticket No],NPS_Data[[#This Row],[Ticket No]])&gt;1,"Duplicate","OK")</f>
        <v>OK</v>
      </c>
      <c r="Z13" s="2" t="str">
        <f ca="1">IF(NPS_Data[[#This Row],[RemarkHash]]="","OK",
   IF(COUNTIF(NPS_Data[RemarkHash],NPS_Data[[#This Row],[RemarkHash]])&gt;1,"RepeatedRemark","OK"))</f>
        <v>RepeatedRemark</v>
      </c>
      <c r="AA13" s="17">
        <f>IF( AND( ISNUMBER(NPS_Data[[#This Row],[CreatedDateTime]]), ISNUMBER(NPS_Data[[#This Row],[ResolvedDateTime]]) ), (NPS_Data[[#This Row],[ResolvedDateTime]] - NPS_Data[[#This Row],[CreatedDateTime]]) * 24, 0 )</f>
        <v>261.20250000001397</v>
      </c>
      <c r="AB13" s="65" t="str">
        <f>IF(NOT(ISNA(NPS_Data[[#This Row],[CreatedDateTime]])),
   YEAR(NPS_Data[[#This Row],[CreatedDateTime]]) &amp; "-" &amp; TEXT(WEEKNUM(NPS_Data[[#This Row],[CreatedDateTime]],2),"00"),
   "")</f>
        <v>2025-31</v>
      </c>
      <c r="AC13" s="14" t="str">
        <f>IF(NOT(ISNA(NPS_Data[[#This Row],[CreatedDateTime]])), TEXT(NPS_Data[[#This Row],[CreatedDateTime]],"YYYY-MM"), "")</f>
        <v>2025-08</v>
      </c>
      <c r="AD13" s="19" t="str">
        <f>IF(NOT(ISNUMBER(NPS_Data[[#This Row],[ResolutionHours]])),"Open", IF(NPS_Data[[#This Row],[ResolutionHours]]&gt;72,"Breach","OK"))</f>
        <v>Breach</v>
      </c>
      <c r="AE13" s="14">
        <f>IF(AND(ISNUMBER(NPS_Data[[#This Row],[CreatedDateTime]]), ISNUMBER(NPS_Data[[#This Row],[ResolvedDateTime]])), 1, 0)</f>
        <v>1</v>
      </c>
      <c r="AF13" s="48" t="str">
        <f>IF(NOT(ISNA(NPS_Data[[#This Row],[CreatedDateTime]])), TEXT(NPS_Data[[#This Row],[CreatedDateTime]],"dddd"), "")</f>
        <v>Saturday</v>
      </c>
    </row>
    <row r="14" spans="1:32" x14ac:dyDescent="0.25">
      <c r="A14" s="2" t="s">
        <v>126</v>
      </c>
      <c r="B14" s="2" t="s">
        <v>127</v>
      </c>
      <c r="C14" s="2" t="s">
        <v>128</v>
      </c>
      <c r="D1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45878.639039351852</v>
      </c>
      <c r="E14" s="2" t="s">
        <v>87</v>
      </c>
      <c r="H14"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4" s="2" t="s">
        <v>23</v>
      </c>
      <c r="J14" s="2" t="s">
        <v>23</v>
      </c>
      <c r="K14" s="2" t="s">
        <v>88</v>
      </c>
      <c r="L14" s="2" t="s">
        <v>129</v>
      </c>
      <c r="M14" s="2" t="s">
        <v>130</v>
      </c>
      <c r="N14" s="2" t="s">
        <v>131</v>
      </c>
      <c r="O14" s="2" t="s">
        <v>28</v>
      </c>
      <c r="P14" s="2" t="s">
        <v>132</v>
      </c>
      <c r="Q14" s="3">
        <v>7</v>
      </c>
      <c r="R14" s="2" t="s">
        <v>49</v>
      </c>
      <c r="S14" s="2" t="s">
        <v>133</v>
      </c>
      <c r="T14" s="2" t="str">
        <f>IF(OR(NPS_Data[[#This Row],[CreatedDateTime]]="",NPS_Data[[#This Row],[Assigned To]]="",NPS_Data[[#This Row],[Issue 2 - NPS]]="",NPS_Data[[#This Row],[Program Name]]=""),"Missing","OK")</f>
        <v>OK</v>
      </c>
      <c r="U14" s="2" t="str">
        <f>IF(
  AND(NPS_Data[[#This Row],[Status]]="Complete", OR(ISNA(NPS_Data[[#This Row],[ResolvedDateTime]]), ISBLANK(NPS_Data[[#This Row],[ResolvedDateTime]]))),
  "CompleteNoResolved",
  IF(
    AND(NPS_Data[[#This Row],[Status]]="Pending", NPS_Data[[#This Row],[Sub Status]]="Solved"),
    "PendingButSolved",
    "OK"
  )
)</f>
        <v>OK</v>
      </c>
      <c r="V1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4" s="2" t="str">
        <f>IFERROR(TRIM(CLEAN(NPS_Data[[#This Row],[Ticket All Remarks]])),"")</f>
        <v>Placement eligibility criteria require 70%+ in graduation but scored 68% due to family financial crisis during college. Seems unfair exclusion. || Resolution: Reviewed eligibility criteria and created exception process for genuine hardship cases</v>
      </c>
      <c r="X14" s="2" cm="1">
        <f t="array" aca="1" ref="X14" ca="1">IF(NPS_Data[[#This Row],[CleanRemark]]="","",
   SUMPRODUCT(CODE(MID(NPS_Data[[#This Row],[CleanRemark]],ROW(INDIRECT("1:"&amp;LEN(NPS_Data[[#This Row],[CleanRemark]]))),1))))</f>
        <v>23171</v>
      </c>
      <c r="Y14" s="2" t="str">
        <f>IF(COUNTIF(NPS_Data[Ticket No],NPS_Data[[#This Row],[Ticket No]])&gt;1,"Duplicate","OK")</f>
        <v>OK</v>
      </c>
      <c r="Z14" s="2" t="str">
        <f ca="1">IF(NPS_Data[[#This Row],[RemarkHash]]="","OK",
   IF(COUNTIF(NPS_Data[RemarkHash],NPS_Data[[#This Row],[RemarkHash]])&gt;1,"RepeatedRemark","OK"))</f>
        <v>RepeatedRemark</v>
      </c>
      <c r="AA14" s="17">
        <f>IF( AND( ISNUMBER(NPS_Data[[#This Row],[CreatedDateTime]]), ISNUMBER(NPS_Data[[#This Row],[ResolvedDateTime]]) ), (NPS_Data[[#This Row],[ResolvedDateTime]] - NPS_Data[[#This Row],[CreatedDateTime]]) * 24, 0 )</f>
        <v>0</v>
      </c>
      <c r="AB14" s="65" t="str">
        <f>IF(NOT(ISNA(NPS_Data[[#This Row],[CreatedDateTime]])),
   YEAR(NPS_Data[[#This Row],[CreatedDateTime]]) &amp; "-" &amp; TEXT(WEEKNUM(NPS_Data[[#This Row],[CreatedDateTime]],2),"00"),
   "")</f>
        <v>2025-32</v>
      </c>
      <c r="AC14" s="14" t="str">
        <f>IF(NOT(ISNA(NPS_Data[[#This Row],[CreatedDateTime]])), TEXT(NPS_Data[[#This Row],[CreatedDateTime]],"YYYY-MM"), "")</f>
        <v>2025-08</v>
      </c>
      <c r="AD14" s="14" t="str">
        <f>IF(NOT(ISNUMBER(NPS_Data[[#This Row],[ResolutionHours]])),"Open", IF(NPS_Data[[#This Row],[ResolutionHours]]&gt;72,"Breach","OK"))</f>
        <v>OK</v>
      </c>
      <c r="AE14" s="14">
        <f>IF(AND(ISNUMBER(NPS_Data[[#This Row],[CreatedDateTime]]), ISNUMBER(NPS_Data[[#This Row],[ResolvedDateTime]])), 1, 0)</f>
        <v>0</v>
      </c>
      <c r="AF14" s="48" t="str">
        <f>IF(NOT(ISNA(NPS_Data[[#This Row],[CreatedDateTime]])), TEXT(NPS_Data[[#This Row],[CreatedDateTime]],"dddd"), "")</f>
        <v>Saturday</v>
      </c>
    </row>
    <row r="15" spans="1:32" x14ac:dyDescent="0.25">
      <c r="A15" s="2" t="s">
        <v>134</v>
      </c>
      <c r="B15" s="2" t="s">
        <v>135</v>
      </c>
      <c r="C15" s="2" t="s">
        <v>136</v>
      </c>
      <c r="D1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45886.390439814815</v>
      </c>
      <c r="H15"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5" s="2" t="s">
        <v>23</v>
      </c>
      <c r="J15" s="2" t="s">
        <v>23</v>
      </c>
      <c r="K15" s="2" t="s">
        <v>88</v>
      </c>
      <c r="L15" s="2" t="s">
        <v>137</v>
      </c>
      <c r="M15" s="2" t="s">
        <v>138</v>
      </c>
      <c r="N15" s="2" t="s">
        <v>139</v>
      </c>
      <c r="O15" s="2" t="s">
        <v>28</v>
      </c>
      <c r="P15" s="2" t="s">
        <v>92</v>
      </c>
      <c r="Q15" s="3">
        <v>7</v>
      </c>
      <c r="R15" s="2" t="s">
        <v>49</v>
      </c>
      <c r="S15" s="2" t="s">
        <v>116</v>
      </c>
      <c r="T15" s="2" t="str">
        <f>IF(OR(NPS_Data[[#This Row],[CreatedDateTime]]="",NPS_Data[[#This Row],[Assigned To]]="",NPS_Data[[#This Row],[Issue 2 - NPS]]="",NPS_Data[[#This Row],[Program Name]]=""),"Missing","OK")</f>
        <v>Missing</v>
      </c>
      <c r="U15" s="2" t="str">
        <f>IF(
  AND(NPS_Data[[#This Row],[Status]]="Complete", OR(ISNA(NPS_Data[[#This Row],[ResolvedDateTime]]), ISBLANK(NPS_Data[[#This Row],[ResolvedDateTime]]))),
  "CompleteNoResolved",
  IF(
    AND(NPS_Data[[#This Row],[Status]]="Pending", NPS_Data[[#This Row],[Sub Status]]="Solved"),
    "PendingButSolved",
    "OK"
  )
)</f>
        <v>OK</v>
      </c>
      <c r="V1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5" s="2" t="str">
        <f>IFERROR(TRIM(CLEAN(NPS_Data[[#This Row],[Ticket All Remarks]])),"")</f>
        <v>Interested in international opportunities but confused about visa processes, skill requirements, and cultural preparation for US/Canada markets. || Resolution: Connected with professionals who successfully relocated internationally</v>
      </c>
      <c r="X15" s="2" cm="1">
        <f t="array" aca="1" ref="X15" ca="1">IF(NPS_Data[[#This Row],[CleanRemark]]="","",
   SUMPRODUCT(CODE(MID(NPS_Data[[#This Row],[CleanRemark]],ROW(INDIRECT("1:"&amp;LEN(NPS_Data[[#This Row],[CleanRemark]]))),1))))</f>
        <v>22668</v>
      </c>
      <c r="Y15" s="2" t="str">
        <f>IF(COUNTIF(NPS_Data[Ticket No],NPS_Data[[#This Row],[Ticket No]])&gt;1,"Duplicate","OK")</f>
        <v>OK</v>
      </c>
      <c r="Z15" s="2" t="str">
        <f ca="1">IF(NPS_Data[[#This Row],[RemarkHash]]="","OK",
   IF(COUNTIF(NPS_Data[RemarkHash],NPS_Data[[#This Row],[RemarkHash]])&gt;1,"RepeatedRemark","OK"))</f>
        <v>RepeatedRemark</v>
      </c>
      <c r="AA15" s="17">
        <f>IF( AND( ISNUMBER(NPS_Data[[#This Row],[CreatedDateTime]]), ISNUMBER(NPS_Data[[#This Row],[ResolvedDateTime]]) ), (NPS_Data[[#This Row],[ResolvedDateTime]] - NPS_Data[[#This Row],[CreatedDateTime]]) * 24, 0 )</f>
        <v>0</v>
      </c>
      <c r="AB15" s="65" t="str">
        <f>IF(NOT(ISNA(NPS_Data[[#This Row],[CreatedDateTime]])),
   YEAR(NPS_Data[[#This Row],[CreatedDateTime]]) &amp; "-" &amp; TEXT(WEEKNUM(NPS_Data[[#This Row],[CreatedDateTime]],2),"00"),
   "")</f>
        <v>2025-33</v>
      </c>
      <c r="AC15" s="14" t="str">
        <f>IF(NOT(ISNA(NPS_Data[[#This Row],[CreatedDateTime]])), TEXT(NPS_Data[[#This Row],[CreatedDateTime]],"YYYY-MM"), "")</f>
        <v>2025-08</v>
      </c>
      <c r="AD15" s="14" t="str">
        <f>IF(NOT(ISNUMBER(NPS_Data[[#This Row],[ResolutionHours]])),"Open", IF(NPS_Data[[#This Row],[ResolutionHours]]&gt;72,"Breach","OK"))</f>
        <v>OK</v>
      </c>
      <c r="AE15" s="14">
        <f>IF(AND(ISNUMBER(NPS_Data[[#This Row],[CreatedDateTime]]), ISNUMBER(NPS_Data[[#This Row],[ResolvedDateTime]])), 1, 0)</f>
        <v>0</v>
      </c>
      <c r="AF15" s="48" t="str">
        <f>IF(NOT(ISNA(NPS_Data[[#This Row],[CreatedDateTime]])), TEXT(NPS_Data[[#This Row],[CreatedDateTime]],"dddd"), "")</f>
        <v>Sunday</v>
      </c>
    </row>
    <row r="16" spans="1:32" x14ac:dyDescent="0.25">
      <c r="A16" s="2" t="s">
        <v>140</v>
      </c>
      <c r="B16" s="2" t="s">
        <v>141</v>
      </c>
      <c r="C16" s="2" t="s">
        <v>142</v>
      </c>
      <c r="D1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45885.590717592589</v>
      </c>
      <c r="E16" s="2" t="s">
        <v>113</v>
      </c>
      <c r="F16" s="2" t="s">
        <v>143</v>
      </c>
      <c r="G16" s="2" t="s">
        <v>144</v>
      </c>
      <c r="H16"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45896.441817129627</v>
      </c>
      <c r="I16" s="2" t="s">
        <v>23</v>
      </c>
      <c r="J16" s="2" t="s">
        <v>23</v>
      </c>
      <c r="K16" s="2" t="s">
        <v>38</v>
      </c>
      <c r="L16" s="2" t="s">
        <v>145</v>
      </c>
      <c r="M16" s="2" t="s">
        <v>146</v>
      </c>
      <c r="N16" s="2" t="s">
        <v>147</v>
      </c>
      <c r="O16" s="2" t="s">
        <v>41</v>
      </c>
      <c r="P16" s="2" t="s">
        <v>148</v>
      </c>
      <c r="Q16" s="3">
        <v>1</v>
      </c>
      <c r="R16" s="2" t="s">
        <v>30</v>
      </c>
      <c r="S16" s="2" t="s">
        <v>31</v>
      </c>
      <c r="T16" s="2" t="str">
        <f>IF(OR(NPS_Data[[#This Row],[CreatedDateTime]]="",NPS_Data[[#This Row],[Assigned To]]="",NPS_Data[[#This Row],[Issue 2 - NPS]]="",NPS_Data[[#This Row],[Program Name]]=""),"Missing","OK")</f>
        <v>OK</v>
      </c>
      <c r="U16" s="2" t="str">
        <f>IF(
  AND(NPS_Data[[#This Row],[Status]]="Complete", OR(ISNA(NPS_Data[[#This Row],[ResolvedDateTime]]), ISBLANK(NPS_Data[[#This Row],[ResolvedDateTime]]))),
  "CompleteNoResolved",
  IF(
    AND(NPS_Data[[#This Row],[Status]]="Pending", NPS_Data[[#This Row],[Sub Status]]="Solved"),
    "PendingButSolved",
    "OK"
  )
)</f>
        <v>OK</v>
      </c>
      <c r="V1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6" s="2" t="str">
        <f>IFERROR(TRIM(CLEAN(NPS_Data[[#This Row],[Ticket All Remarks]])),"")</f>
        <v>Instructor David Wilson Rajesh Kumar in AIML Jul25 AIML Jul25 explains neural networks too fast. Yesterday's backpropagation session covered complex mathematics in 20 minutes without examples. When students ask questions, he just says 'check the slides'. Need detailed mathematical walkthrough. || Resolution: Arranged additional math tutorial sessions with TA support</v>
      </c>
      <c r="X16" s="2" cm="1">
        <f t="array" aca="1" ref="X16" ca="1">IF(NPS_Data[[#This Row],[CleanRemark]]="","",
   SUMPRODUCT(CODE(MID(NPS_Data[[#This Row],[CleanRemark]],ROW(INDIRECT("1:"&amp;LEN(NPS_Data[[#This Row],[CleanRemark]]))),1))))</f>
        <v>34539</v>
      </c>
      <c r="Y16" s="2" t="str">
        <f>IF(COUNTIF(NPS_Data[Ticket No],NPS_Data[[#This Row],[Ticket No]])&gt;1,"Duplicate","OK")</f>
        <v>OK</v>
      </c>
      <c r="Z16" s="2" t="str">
        <f ca="1">IF(NPS_Data[[#This Row],[RemarkHash]]="","OK",
   IF(COUNTIF(NPS_Data[RemarkHash],NPS_Data[[#This Row],[RemarkHash]])&gt;1,"RepeatedRemark","OK"))</f>
        <v>OK</v>
      </c>
      <c r="AA16" s="17">
        <f>IF( AND( ISNUMBER(NPS_Data[[#This Row],[CreatedDateTime]]), ISNUMBER(NPS_Data[[#This Row],[ResolvedDateTime]]) ), (NPS_Data[[#This Row],[ResolvedDateTime]] - NPS_Data[[#This Row],[CreatedDateTime]]) * 24, 0 )</f>
        <v>260.42638888891088</v>
      </c>
      <c r="AB16" s="65" t="str">
        <f>IF(NOT(ISNA(NPS_Data[[#This Row],[CreatedDateTime]])),
   YEAR(NPS_Data[[#This Row],[CreatedDateTime]]) &amp; "-" &amp; TEXT(WEEKNUM(NPS_Data[[#This Row],[CreatedDateTime]],2),"00"),
   "")</f>
        <v>2025-33</v>
      </c>
      <c r="AC16" s="14" t="str">
        <f>IF(NOT(ISNA(NPS_Data[[#This Row],[CreatedDateTime]])), TEXT(NPS_Data[[#This Row],[CreatedDateTime]],"YYYY-MM"), "")</f>
        <v>2025-08</v>
      </c>
      <c r="AD16" s="14" t="str">
        <f>IF(NOT(ISNUMBER(NPS_Data[[#This Row],[ResolutionHours]])),"Open", IF(NPS_Data[[#This Row],[ResolutionHours]]&gt;72,"Breach","OK"))</f>
        <v>Breach</v>
      </c>
      <c r="AE16" s="14">
        <f>IF(AND(ISNUMBER(NPS_Data[[#This Row],[CreatedDateTime]]), ISNUMBER(NPS_Data[[#This Row],[ResolvedDateTime]])), 1, 0)</f>
        <v>1</v>
      </c>
      <c r="AF16" s="48" t="str">
        <f>IF(NOT(ISNA(NPS_Data[[#This Row],[CreatedDateTime]])), TEXT(NPS_Data[[#This Row],[CreatedDateTime]],"dddd"), "")</f>
        <v>Saturday</v>
      </c>
    </row>
    <row r="17" spans="1:32" x14ac:dyDescent="0.25">
      <c r="A17" s="2" t="s">
        <v>149</v>
      </c>
      <c r="B17" s="2" t="s">
        <v>118</v>
      </c>
      <c r="C17" s="2" t="s">
        <v>150</v>
      </c>
      <c r="D1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45871.442870370367</v>
      </c>
      <c r="E17" s="2" t="s">
        <v>35</v>
      </c>
      <c r="H17"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7" s="2" t="s">
        <v>23</v>
      </c>
      <c r="J17" s="2" t="s">
        <v>23</v>
      </c>
      <c r="K17" s="2" t="s">
        <v>56</v>
      </c>
      <c r="L17" s="2" t="s">
        <v>151</v>
      </c>
      <c r="M17" s="2" t="s">
        <v>152</v>
      </c>
      <c r="N17" s="2" t="s">
        <v>100</v>
      </c>
      <c r="O17" s="2" t="s">
        <v>41</v>
      </c>
      <c r="P17" s="2" t="s">
        <v>68</v>
      </c>
      <c r="Q17" s="3">
        <v>8</v>
      </c>
      <c r="R17" s="2" t="s">
        <v>49</v>
      </c>
      <c r="S17" s="2" t="s">
        <v>50</v>
      </c>
      <c r="T17" s="2" t="str">
        <f>IF(OR(NPS_Data[[#This Row],[CreatedDateTime]]="",NPS_Data[[#This Row],[Assigned To]]="",NPS_Data[[#This Row],[Issue 2 - NPS]]="",NPS_Data[[#This Row],[Program Name]]=""),"Missing","OK")</f>
        <v>OK</v>
      </c>
      <c r="U17" s="2" t="str">
        <f>IF(
  AND(NPS_Data[[#This Row],[Status]]="Complete", OR(ISNA(NPS_Data[[#This Row],[ResolvedDateTime]]), ISBLANK(NPS_Data[[#This Row],[ResolvedDateTime]]))),
  "CompleteNoResolved",
  IF(
    AND(NPS_Data[[#This Row],[Status]]="Pending", NPS_Data[[#This Row],[Sub Status]]="Solved"),
    "PendingButSolved",
    "OK"
  )
)</f>
        <v>OK</v>
      </c>
      <c r="V1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7" s="2" t="str">
        <f>IFERROR(TRIM(CLEAN(NPS_Data[[#This Row],[Ticket All Remarks]])),"")</f>
        <v>Sales promised 100% job guarantee within 6 months but placement team says no such commitment exists. Feel misled about course outcomes. || Resolution: Clarified placement support terms and provided additional career assistance</v>
      </c>
      <c r="X17" s="2" cm="1">
        <f t="array" aca="1" ref="X17" ca="1">IF(NPS_Data[[#This Row],[CleanRemark]]="","",
   SUMPRODUCT(CODE(MID(NPS_Data[[#This Row],[CleanRemark]],ROW(INDIRECT("1:"&amp;LEN(NPS_Data[[#This Row],[CleanRemark]]))),1))))</f>
        <v>21446</v>
      </c>
      <c r="Y17" s="2" t="str">
        <f>IF(COUNTIF(NPS_Data[Ticket No],NPS_Data[[#This Row],[Ticket No]])&gt;1,"Duplicate","OK")</f>
        <v>OK</v>
      </c>
      <c r="Z17" s="2" t="str">
        <f ca="1">IF(NPS_Data[[#This Row],[RemarkHash]]="","OK",
   IF(COUNTIF(NPS_Data[RemarkHash],NPS_Data[[#This Row],[RemarkHash]])&gt;1,"RepeatedRemark","OK"))</f>
        <v>RepeatedRemark</v>
      </c>
      <c r="AA17" s="17">
        <f>IF( AND( ISNUMBER(NPS_Data[[#This Row],[CreatedDateTime]]), ISNUMBER(NPS_Data[[#This Row],[ResolvedDateTime]]) ), (NPS_Data[[#This Row],[ResolvedDateTime]] - NPS_Data[[#This Row],[CreatedDateTime]]) * 24, 0 )</f>
        <v>0</v>
      </c>
      <c r="AB17" s="65" t="str">
        <f>IF(NOT(ISNA(NPS_Data[[#This Row],[CreatedDateTime]])),
   YEAR(NPS_Data[[#This Row],[CreatedDateTime]]) &amp; "-" &amp; TEXT(WEEKNUM(NPS_Data[[#This Row],[CreatedDateTime]],2),"00"),
   "")</f>
        <v>2025-31</v>
      </c>
      <c r="AC17" s="14" t="str">
        <f>IF(NOT(ISNA(NPS_Data[[#This Row],[CreatedDateTime]])), TEXT(NPS_Data[[#This Row],[CreatedDateTime]],"YYYY-MM"), "")</f>
        <v>2025-08</v>
      </c>
      <c r="AD17" s="14" t="str">
        <f>IF(NOT(ISNUMBER(NPS_Data[[#This Row],[ResolutionHours]])),"Open", IF(NPS_Data[[#This Row],[ResolutionHours]]&gt;72,"Breach","OK"))</f>
        <v>OK</v>
      </c>
      <c r="AE17" s="14">
        <f>IF(AND(ISNUMBER(NPS_Data[[#This Row],[CreatedDateTime]]), ISNUMBER(NPS_Data[[#This Row],[ResolvedDateTime]])), 1, 0)</f>
        <v>0</v>
      </c>
      <c r="AF17" s="48" t="str">
        <f>IF(NOT(ISNA(NPS_Data[[#This Row],[CreatedDateTime]])), TEXT(NPS_Data[[#This Row],[CreatedDateTime]],"dddd"), "")</f>
        <v>Saturday</v>
      </c>
    </row>
    <row r="18" spans="1:32" x14ac:dyDescent="0.25">
      <c r="A18" s="2" t="s">
        <v>153</v>
      </c>
      <c r="B18" s="2" t="s">
        <v>18</v>
      </c>
      <c r="C18" s="2" t="s">
        <v>154</v>
      </c>
      <c r="D1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45892.661469907405</v>
      </c>
      <c r="E18" s="2" t="s">
        <v>20</v>
      </c>
      <c r="F18" s="2" t="s">
        <v>78</v>
      </c>
      <c r="G18" s="2" t="s">
        <v>155</v>
      </c>
      <c r="H18"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45903.586481481485</v>
      </c>
      <c r="I18" s="2" t="s">
        <v>23</v>
      </c>
      <c r="J18" s="2" t="s">
        <v>23</v>
      </c>
      <c r="K18" s="2" t="s">
        <v>38</v>
      </c>
      <c r="L18" s="2" t="s">
        <v>151</v>
      </c>
      <c r="M18" s="2" t="s">
        <v>156</v>
      </c>
      <c r="N18" s="2" t="s">
        <v>157</v>
      </c>
      <c r="O18" s="2" t="s">
        <v>48</v>
      </c>
      <c r="P18" s="2" t="s">
        <v>158</v>
      </c>
      <c r="Q18" s="3">
        <v>5</v>
      </c>
      <c r="R18" s="2" t="s">
        <v>30</v>
      </c>
      <c r="S18" s="2" t="s">
        <v>31</v>
      </c>
      <c r="T18" s="2" t="str">
        <f>IF(OR(NPS_Data[[#This Row],[CreatedDateTime]]="",NPS_Data[[#This Row],[Assigned To]]="",NPS_Data[[#This Row],[Issue 2 - NPS]]="",NPS_Data[[#This Row],[Program Name]]=""),"Missing","OK")</f>
        <v>OK</v>
      </c>
      <c r="U18" s="2" t="str">
        <f>IF(
  AND(NPS_Data[[#This Row],[Status]]="Complete", OR(ISNA(NPS_Data[[#This Row],[ResolvedDateTime]]), ISBLANK(NPS_Data[[#This Row],[ResolvedDateTime]]))),
  "CompleteNoResolved",
  IF(
    AND(NPS_Data[[#This Row],[Status]]="Pending", NPS_Data[[#This Row],[Sub Status]]="Solved"),
    "PendingButSolved",
    "OK"
  )
)</f>
        <v>OK</v>
      </c>
      <c r="V1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8" s="2" t="str">
        <f>IFERROR(TRIM(CLEAN(NPS_Data[[#This Row],[Ticket All Remarks]])),"")</f>
        <v>Evening Academy Jul25 Beginner starts at 7 PM when dinner time with family. Work-life balance getting affected due to late learning schedule. || Resolution: Introduced early evening slots (6-8 PM) based on demand</v>
      </c>
      <c r="X18" s="2" cm="1">
        <f t="array" aca="1" ref="X18" ca="1">IF(NPS_Data[[#This Row],[CleanRemark]]="","",
   SUMPRODUCT(CODE(MID(NPS_Data[[#This Row],[CleanRemark]],ROW(INDIRECT("1:"&amp;LEN(NPS_Data[[#This Row],[CleanRemark]]))),1))))</f>
        <v>19266</v>
      </c>
      <c r="Y18" s="2" t="str">
        <f>IF(COUNTIF(NPS_Data[Ticket No],NPS_Data[[#This Row],[Ticket No]])&gt;1,"Duplicate","OK")</f>
        <v>OK</v>
      </c>
      <c r="Z18" s="2" t="str">
        <f ca="1">IF(NPS_Data[[#This Row],[RemarkHash]]="","OK",
   IF(COUNTIF(NPS_Data[RemarkHash],NPS_Data[[#This Row],[RemarkHash]])&gt;1,"RepeatedRemark","OK"))</f>
        <v>OK</v>
      </c>
      <c r="AA18" s="17">
        <f>IF( AND( ISNUMBER(NPS_Data[[#This Row],[CreatedDateTime]]), ISNUMBER(NPS_Data[[#This Row],[ResolvedDateTime]]) ), (NPS_Data[[#This Row],[ResolvedDateTime]] - NPS_Data[[#This Row],[CreatedDateTime]]) * 24, 0 )</f>
        <v>262.20027777791256</v>
      </c>
      <c r="AB18" s="65" t="str">
        <f>IF(NOT(ISNA(NPS_Data[[#This Row],[CreatedDateTime]])),
   YEAR(NPS_Data[[#This Row],[CreatedDateTime]]) &amp; "-" &amp; TEXT(WEEKNUM(NPS_Data[[#This Row],[CreatedDateTime]],2),"00"),
   "")</f>
        <v>2025-34</v>
      </c>
      <c r="AC18" s="14" t="str">
        <f>IF(NOT(ISNA(NPS_Data[[#This Row],[CreatedDateTime]])), TEXT(NPS_Data[[#This Row],[CreatedDateTime]],"YYYY-MM"), "")</f>
        <v>2025-08</v>
      </c>
      <c r="AD18" s="14" t="str">
        <f>IF(NOT(ISNUMBER(NPS_Data[[#This Row],[ResolutionHours]])),"Open", IF(NPS_Data[[#This Row],[ResolutionHours]]&gt;72,"Breach","OK"))</f>
        <v>Breach</v>
      </c>
      <c r="AE18" s="14">
        <f>IF(AND(ISNUMBER(NPS_Data[[#This Row],[CreatedDateTime]]), ISNUMBER(NPS_Data[[#This Row],[ResolvedDateTime]])), 1, 0)</f>
        <v>1</v>
      </c>
      <c r="AF18" s="48" t="str">
        <f>IF(NOT(ISNA(NPS_Data[[#This Row],[CreatedDateTime]])), TEXT(NPS_Data[[#This Row],[CreatedDateTime]],"dddd"), "")</f>
        <v>Saturday</v>
      </c>
    </row>
    <row r="19" spans="1:32" x14ac:dyDescent="0.25">
      <c r="A19" s="2" t="s">
        <v>159</v>
      </c>
      <c r="B19" s="2" t="s">
        <v>54</v>
      </c>
      <c r="C19" s="2" t="s">
        <v>160</v>
      </c>
      <c r="D1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45916.661643518521</v>
      </c>
      <c r="E19" s="2" t="s">
        <v>113</v>
      </c>
      <c r="F19" s="2" t="s">
        <v>161</v>
      </c>
      <c r="G19" s="2" t="s">
        <v>162</v>
      </c>
      <c r="H19"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45927.569340277776</v>
      </c>
      <c r="I19" s="2" t="s">
        <v>23</v>
      </c>
      <c r="J19" s="2" t="s">
        <v>23</v>
      </c>
      <c r="K19" s="2" t="s">
        <v>88</v>
      </c>
      <c r="L19" s="2" t="s">
        <v>163</v>
      </c>
      <c r="M19" s="2" t="s">
        <v>164</v>
      </c>
      <c r="N19" s="2" t="s">
        <v>91</v>
      </c>
      <c r="O19" s="2" t="s">
        <v>41</v>
      </c>
      <c r="P19" s="2" t="s">
        <v>92</v>
      </c>
      <c r="Q19" s="3">
        <v>2</v>
      </c>
      <c r="R19" s="2" t="s">
        <v>30</v>
      </c>
      <c r="S19" s="2" t="s">
        <v>31</v>
      </c>
      <c r="T19" s="2" t="str">
        <f>IF(OR(NPS_Data[[#This Row],[CreatedDateTime]]="",NPS_Data[[#This Row],[Assigned To]]="",NPS_Data[[#This Row],[Issue 2 - NPS]]="",NPS_Data[[#This Row],[Program Name]]=""),"Missing","OK")</f>
        <v>OK</v>
      </c>
      <c r="U19" s="2" t="str">
        <f>IF(
  AND(NPS_Data[[#This Row],[Status]]="Complete", OR(ISNA(NPS_Data[[#This Row],[ResolvedDateTime]]), ISBLANK(NPS_Data[[#This Row],[ResolvedDateTime]]))),
  "CompleteNoResolved",
  IF(
    AND(NPS_Data[[#This Row],[Status]]="Pending", NPS_Data[[#This Row],[Sub Status]]="Solved"),
    "PendingButSolved",
    "OK"
  )
)</f>
        <v>OK</v>
      </c>
      <c r="V1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9" s="2" t="str">
        <f>IFERROR(TRIM(CLEAN(NPS_Data[[#This Row],[Ticket All Remarks]])),"")</f>
        <v>Considering career break for higher studies (MS abroad). Need advice on timing, university selection, and maintaining professional network during studies. || Resolution: Provided comprehensive higher education guidance and alumni connections</v>
      </c>
      <c r="X19" s="2" cm="1">
        <f t="array" aca="1" ref="X19" ca="1">IF(NPS_Data[[#This Row],[CleanRemark]]="","",
   SUMPRODUCT(CODE(MID(NPS_Data[[#This Row],[CleanRemark]],ROW(INDIRECT("1:"&amp;LEN(NPS_Data[[#This Row],[CleanRemark]]))),1))))</f>
        <v>23075</v>
      </c>
      <c r="Y19" s="2" t="str">
        <f>IF(COUNTIF(NPS_Data[Ticket No],NPS_Data[[#This Row],[Ticket No]])&gt;1,"Duplicate","OK")</f>
        <v>OK</v>
      </c>
      <c r="Z19" s="2" t="str">
        <f ca="1">IF(NPS_Data[[#This Row],[RemarkHash]]="","OK",
   IF(COUNTIF(NPS_Data[RemarkHash],NPS_Data[[#This Row],[RemarkHash]])&gt;1,"RepeatedRemark","OK"))</f>
        <v>RepeatedRemark</v>
      </c>
      <c r="AA19" s="17">
        <f>IF( AND( ISNUMBER(NPS_Data[[#This Row],[CreatedDateTime]]), ISNUMBER(NPS_Data[[#This Row],[ResolvedDateTime]]) ), (NPS_Data[[#This Row],[ResolvedDateTime]] - NPS_Data[[#This Row],[CreatedDateTime]]) * 24, 0 )</f>
        <v>261.78472222213168</v>
      </c>
      <c r="AB19" s="65" t="str">
        <f>IF(NOT(ISNA(NPS_Data[[#This Row],[CreatedDateTime]])),
   YEAR(NPS_Data[[#This Row],[CreatedDateTime]]) &amp; "-" &amp; TEXT(WEEKNUM(NPS_Data[[#This Row],[CreatedDateTime]],2),"00"),
   "")</f>
        <v>2025-38</v>
      </c>
      <c r="AC19" s="14" t="str">
        <f>IF(NOT(ISNA(NPS_Data[[#This Row],[CreatedDateTime]])), TEXT(NPS_Data[[#This Row],[CreatedDateTime]],"YYYY-MM"), "")</f>
        <v>2025-09</v>
      </c>
      <c r="AD19" s="14" t="str">
        <f>IF(NOT(ISNUMBER(NPS_Data[[#This Row],[ResolutionHours]])),"Open", IF(NPS_Data[[#This Row],[ResolutionHours]]&gt;72,"Breach","OK"))</f>
        <v>Breach</v>
      </c>
      <c r="AE19" s="14">
        <f>IF(AND(ISNUMBER(NPS_Data[[#This Row],[CreatedDateTime]]), ISNUMBER(NPS_Data[[#This Row],[ResolvedDateTime]])), 1, 0)</f>
        <v>1</v>
      </c>
      <c r="AF19" s="48" t="str">
        <f>IF(NOT(ISNA(NPS_Data[[#This Row],[CreatedDateTime]])), TEXT(NPS_Data[[#This Row],[CreatedDateTime]],"dddd"), "")</f>
        <v>Tuesday</v>
      </c>
    </row>
    <row r="20" spans="1:32" x14ac:dyDescent="0.25">
      <c r="A20" s="2" t="s">
        <v>165</v>
      </c>
      <c r="B20" s="2" t="s">
        <v>141</v>
      </c>
      <c r="C20" s="2" t="s">
        <v>166</v>
      </c>
      <c r="D2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45885.397152777776</v>
      </c>
      <c r="E20" s="2" t="s">
        <v>167</v>
      </c>
      <c r="H20"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20" s="2" t="s">
        <v>23</v>
      </c>
      <c r="J20" s="2" t="s">
        <v>23</v>
      </c>
      <c r="K20" s="2" t="s">
        <v>88</v>
      </c>
      <c r="L20" s="2" t="s">
        <v>168</v>
      </c>
      <c r="M20" s="2" t="s">
        <v>169</v>
      </c>
      <c r="N20" s="2" t="s">
        <v>170</v>
      </c>
      <c r="O20" s="2" t="s">
        <v>41</v>
      </c>
      <c r="P20" s="2" t="s">
        <v>92</v>
      </c>
      <c r="Q20" s="3">
        <v>10</v>
      </c>
      <c r="R20" s="2" t="s">
        <v>49</v>
      </c>
      <c r="S20" s="2" t="s">
        <v>50</v>
      </c>
      <c r="T20" s="2" t="str">
        <f>IF(OR(NPS_Data[[#This Row],[CreatedDateTime]]="",NPS_Data[[#This Row],[Assigned To]]="",NPS_Data[[#This Row],[Issue 2 - NPS]]="",NPS_Data[[#This Row],[Program Name]]=""),"Missing","OK")</f>
        <v>OK</v>
      </c>
      <c r="U20" s="2" t="str">
        <f>IF(
  AND(NPS_Data[[#This Row],[Status]]="Complete", OR(ISNA(NPS_Data[[#This Row],[ResolvedDateTime]]), ISBLANK(NPS_Data[[#This Row],[ResolvedDateTime]]))),
  "CompleteNoResolved",
  IF(
    AND(NPS_Data[[#This Row],[Status]]="Pending", NPS_Data[[#This Row],[Sub Status]]="Solved"),
    "PendingButSolved",
    "OK"
  )
)</f>
        <v>OK</v>
      </c>
      <c r="V2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0" s="2" t="str">
        <f>IFERROR(TRIM(CLEAN(NPS_Data[[#This Row],[Ticket All Remarks]])),"")</f>
        <v>Planning to relocate from Bangalore to Pune for family reasons. Unclear about job market, salary differences, and Google options in Pune tech scene. || Resolution: Connected with local Pune-based mentors and provided market insights</v>
      </c>
      <c r="X20" s="2" cm="1">
        <f t="array" aca="1" ref="X20" ca="1">IF(NPS_Data[[#This Row],[CleanRemark]]="","",
   SUMPRODUCT(CODE(MID(NPS_Data[[#This Row],[CleanRemark]],ROW(INDIRECT("1:"&amp;LEN(NPS_Data[[#This Row],[CleanRemark]]))),1))))</f>
        <v>21807</v>
      </c>
      <c r="Y20" s="2" t="str">
        <f>IF(COUNTIF(NPS_Data[Ticket No],NPS_Data[[#This Row],[Ticket No]])&gt;1,"Duplicate","OK")</f>
        <v>OK</v>
      </c>
      <c r="Z20" s="2" t="str">
        <f ca="1">IF(NPS_Data[[#This Row],[RemarkHash]]="","OK",
   IF(COUNTIF(NPS_Data[RemarkHash],NPS_Data[[#This Row],[RemarkHash]])&gt;1,"RepeatedRemark","OK"))</f>
        <v>OK</v>
      </c>
      <c r="AA20" s="17">
        <f>IF( AND( ISNUMBER(NPS_Data[[#This Row],[CreatedDateTime]]), ISNUMBER(NPS_Data[[#This Row],[ResolvedDateTime]]) ), (NPS_Data[[#This Row],[ResolvedDateTime]] - NPS_Data[[#This Row],[CreatedDateTime]]) * 24, 0 )</f>
        <v>0</v>
      </c>
      <c r="AB20" s="65" t="str">
        <f>IF(NOT(ISNA(NPS_Data[[#This Row],[CreatedDateTime]])),
   YEAR(NPS_Data[[#This Row],[CreatedDateTime]]) &amp; "-" &amp; TEXT(WEEKNUM(NPS_Data[[#This Row],[CreatedDateTime]],2),"00"),
   "")</f>
        <v>2025-33</v>
      </c>
      <c r="AC20" s="14" t="str">
        <f>IF(NOT(ISNA(NPS_Data[[#This Row],[CreatedDateTime]])), TEXT(NPS_Data[[#This Row],[CreatedDateTime]],"YYYY-MM"), "")</f>
        <v>2025-08</v>
      </c>
      <c r="AD20" s="14" t="str">
        <f>IF(NOT(ISNUMBER(NPS_Data[[#This Row],[ResolutionHours]])),"Open", IF(NPS_Data[[#This Row],[ResolutionHours]]&gt;72,"Breach","OK"))</f>
        <v>OK</v>
      </c>
      <c r="AE20" s="14">
        <f>IF(AND(ISNUMBER(NPS_Data[[#This Row],[CreatedDateTime]]), ISNUMBER(NPS_Data[[#This Row],[ResolvedDateTime]])), 1, 0)</f>
        <v>0</v>
      </c>
      <c r="AF20" s="48" t="str">
        <f>IF(NOT(ISNA(NPS_Data[[#This Row],[CreatedDateTime]])), TEXT(NPS_Data[[#This Row],[CreatedDateTime]],"dddd"), "")</f>
        <v>Saturday</v>
      </c>
    </row>
    <row r="21" spans="1:32" x14ac:dyDescent="0.25">
      <c r="A21" s="2" t="s">
        <v>171</v>
      </c>
      <c r="B21" s="2" t="s">
        <v>172</v>
      </c>
      <c r="C21" s="2" t="s">
        <v>173</v>
      </c>
      <c r="D2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45891.53224537037</v>
      </c>
      <c r="E21" s="2" t="s">
        <v>87</v>
      </c>
      <c r="F21" s="2" t="s">
        <v>94</v>
      </c>
      <c r="G21" s="2" t="s">
        <v>174</v>
      </c>
      <c r="H21"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45901.565972222219</v>
      </c>
      <c r="I21" s="2" t="s">
        <v>23</v>
      </c>
      <c r="J21" s="2" t="s">
        <v>23</v>
      </c>
      <c r="K21" s="2" t="s">
        <v>24</v>
      </c>
      <c r="L21" s="2" t="s">
        <v>175</v>
      </c>
      <c r="M21" s="2" t="s">
        <v>176</v>
      </c>
      <c r="N21" s="2" t="s">
        <v>124</v>
      </c>
      <c r="O21" s="2" t="s">
        <v>177</v>
      </c>
      <c r="P21" s="2" t="s">
        <v>125</v>
      </c>
      <c r="Q21" s="3">
        <v>5</v>
      </c>
      <c r="R21" s="2" t="s">
        <v>30</v>
      </c>
      <c r="S21" s="2" t="s">
        <v>31</v>
      </c>
      <c r="T21" s="2" t="str">
        <f>IF(OR(NPS_Data[[#This Row],[CreatedDateTime]]="",NPS_Data[[#This Row],[Assigned To]]="",NPS_Data[[#This Row],[Issue 2 - NPS]]="",NPS_Data[[#This Row],[Program Name]]=""),"Missing","OK")</f>
        <v>OK</v>
      </c>
      <c r="U21" s="2" t="str">
        <f>IF(
  AND(NPS_Data[[#This Row],[Status]]="Complete", OR(ISNA(NPS_Data[[#This Row],[ResolvedDateTime]]), ISBLANK(NPS_Data[[#This Row],[ResolvedDateTime]]))),
  "CompleteNoResolved",
  IF(
    AND(NPS_Data[[#This Row],[Status]]="Pending", NPS_Data[[#This Row],[Sub Status]]="Solved"),
    "PendingButSolved",
    "OK"
  )
)</f>
        <v>OK</v>
      </c>
      <c r="V2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1" s="2" t="str">
        <f>IFERROR(TRIM(CLEAN(NPS_Data[[#This Row],[Ticket All Remarks]])),"")</f>
        <v>Multiple TAs provide conflicting solutions for same problem. Creates confusion about best practices and correct approach for implementation. || Resolution: Implemented TA training program and standardized solution guidelines</v>
      </c>
      <c r="X21" s="2" cm="1">
        <f t="array" aca="1" ref="X21" ca="1">IF(NPS_Data[[#This Row],[CleanRemark]]="","",
   SUMPRODUCT(CODE(MID(NPS_Data[[#This Row],[CleanRemark]],ROW(INDIRECT("1:"&amp;LEN(NPS_Data[[#This Row],[CleanRemark]]))),1))))</f>
        <v>21698</v>
      </c>
      <c r="Y21" s="2" t="str">
        <f>IF(COUNTIF(NPS_Data[Ticket No],NPS_Data[[#This Row],[Ticket No]])&gt;1,"Duplicate","OK")</f>
        <v>OK</v>
      </c>
      <c r="Z21" s="2" t="str">
        <f ca="1">IF(NPS_Data[[#This Row],[RemarkHash]]="","OK",
   IF(COUNTIF(NPS_Data[RemarkHash],NPS_Data[[#This Row],[RemarkHash]])&gt;1,"RepeatedRemark","OK"))</f>
        <v>RepeatedRemark</v>
      </c>
      <c r="AA21" s="17">
        <f>IF( AND( ISNUMBER(NPS_Data[[#This Row],[CreatedDateTime]]), ISNUMBER(NPS_Data[[#This Row],[ResolvedDateTime]]) ), (NPS_Data[[#This Row],[ResolvedDateTime]] - NPS_Data[[#This Row],[CreatedDateTime]]) * 24, 0 )</f>
        <v>240.80944444437046</v>
      </c>
      <c r="AB21" s="65" t="str">
        <f>IF(NOT(ISNA(NPS_Data[[#This Row],[CreatedDateTime]])),
   YEAR(NPS_Data[[#This Row],[CreatedDateTime]]) &amp; "-" &amp; TEXT(WEEKNUM(NPS_Data[[#This Row],[CreatedDateTime]],2),"00"),
   "")</f>
        <v>2025-34</v>
      </c>
      <c r="AC21" s="14" t="str">
        <f>IF(NOT(ISNA(NPS_Data[[#This Row],[CreatedDateTime]])), TEXT(NPS_Data[[#This Row],[CreatedDateTime]],"YYYY-MM"), "")</f>
        <v>2025-08</v>
      </c>
      <c r="AD21" s="14" t="str">
        <f>IF(NOT(ISNUMBER(NPS_Data[[#This Row],[ResolutionHours]])),"Open", IF(NPS_Data[[#This Row],[ResolutionHours]]&gt;72,"Breach","OK"))</f>
        <v>Breach</v>
      </c>
      <c r="AE21" s="14">
        <f>IF(AND(ISNUMBER(NPS_Data[[#This Row],[CreatedDateTime]]), ISNUMBER(NPS_Data[[#This Row],[ResolvedDateTime]])), 1, 0)</f>
        <v>1</v>
      </c>
      <c r="AF21" s="48" t="str">
        <f>IF(NOT(ISNA(NPS_Data[[#This Row],[CreatedDateTime]])), TEXT(NPS_Data[[#This Row],[CreatedDateTime]],"dddd"), "")</f>
        <v>Friday</v>
      </c>
    </row>
    <row r="22" spans="1:32" x14ac:dyDescent="0.25">
      <c r="A22" s="2" t="s">
        <v>178</v>
      </c>
      <c r="B22" s="2" t="s">
        <v>94</v>
      </c>
      <c r="C22" s="2" t="s">
        <v>179</v>
      </c>
      <c r="D2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45901.817627314813</v>
      </c>
      <c r="E22" s="2" t="s">
        <v>87</v>
      </c>
      <c r="F22" s="2" t="s">
        <v>33</v>
      </c>
      <c r="G22" s="2" t="s">
        <v>180</v>
      </c>
      <c r="H22"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45902.429328703707</v>
      </c>
      <c r="I22" s="2" t="s">
        <v>23</v>
      </c>
      <c r="J22" s="2" t="s">
        <v>23</v>
      </c>
      <c r="K22" s="2" t="s">
        <v>88</v>
      </c>
      <c r="L22" s="2" t="s">
        <v>181</v>
      </c>
      <c r="M22" s="2" t="s">
        <v>182</v>
      </c>
      <c r="N22" s="2" t="s">
        <v>100</v>
      </c>
      <c r="O22" s="2" t="s">
        <v>41</v>
      </c>
      <c r="P22" s="2" t="s">
        <v>68</v>
      </c>
      <c r="Q22" s="3">
        <v>5</v>
      </c>
      <c r="R22" s="2" t="s">
        <v>30</v>
      </c>
      <c r="S22" s="2" t="s">
        <v>31</v>
      </c>
      <c r="T22" s="2" t="str">
        <f>IF(OR(NPS_Data[[#This Row],[CreatedDateTime]]="",NPS_Data[[#This Row],[Assigned To]]="",NPS_Data[[#This Row],[Issue 2 - NPS]]="",NPS_Data[[#This Row],[Program Name]]=""),"Missing","OK")</f>
        <v>OK</v>
      </c>
      <c r="U22" s="2" t="str">
        <f>IF(
  AND(NPS_Data[[#This Row],[Status]]="Complete", OR(ISNA(NPS_Data[[#This Row],[ResolvedDateTime]]), ISBLANK(NPS_Data[[#This Row],[ResolvedDateTime]]))),
  "CompleteNoResolved",
  IF(
    AND(NPS_Data[[#This Row],[Status]]="Pending", NPS_Data[[#This Row],[Sub Status]]="Solved"),
    "PendingButSolved",
    "OK"
  )
)</f>
        <v>OK</v>
      </c>
      <c r="V2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2" s="2" t="str">
        <f>IFERROR(TRIM(CLEAN(NPS_Data[[#This Row],[Ticket All Remarks]])),"")</f>
        <v>Sales promised 100% job guarantee within 6 months but placement team says no such commitment exists. Feel misled about course outcomes. || Resolution: Clarified placement support terms and provided additional career assistance</v>
      </c>
      <c r="X22" s="2" cm="1">
        <f t="array" aca="1" ref="X22" ca="1">IF(NPS_Data[[#This Row],[CleanRemark]]="","",
   SUMPRODUCT(CODE(MID(NPS_Data[[#This Row],[CleanRemark]],ROW(INDIRECT("1:"&amp;LEN(NPS_Data[[#This Row],[CleanRemark]]))),1))))</f>
        <v>21446</v>
      </c>
      <c r="Y22" s="2" t="str">
        <f>IF(COUNTIF(NPS_Data[Ticket No],NPS_Data[[#This Row],[Ticket No]])&gt;1,"Duplicate","OK")</f>
        <v>OK</v>
      </c>
      <c r="Z22" s="2" t="str">
        <f ca="1">IF(NPS_Data[[#This Row],[RemarkHash]]="","OK",
   IF(COUNTIF(NPS_Data[RemarkHash],NPS_Data[[#This Row],[RemarkHash]])&gt;1,"RepeatedRemark","OK"))</f>
        <v>RepeatedRemark</v>
      </c>
      <c r="AA22" s="17">
        <f>IF( AND( ISNUMBER(NPS_Data[[#This Row],[CreatedDateTime]]), ISNUMBER(NPS_Data[[#This Row],[ResolvedDateTime]]) ), (NPS_Data[[#This Row],[ResolvedDateTime]] - NPS_Data[[#This Row],[CreatedDateTime]]) * 24, 0 )</f>
        <v>14.680833333462942</v>
      </c>
      <c r="AB22" s="65" t="str">
        <f>IF(NOT(ISNA(NPS_Data[[#This Row],[CreatedDateTime]])),
   YEAR(NPS_Data[[#This Row],[CreatedDateTime]]) &amp; "-" &amp; TEXT(WEEKNUM(NPS_Data[[#This Row],[CreatedDateTime]],2),"00"),
   "")</f>
        <v>2025-36</v>
      </c>
      <c r="AC22" s="14" t="str">
        <f>IF(NOT(ISNA(NPS_Data[[#This Row],[CreatedDateTime]])), TEXT(NPS_Data[[#This Row],[CreatedDateTime]],"YYYY-MM"), "")</f>
        <v>2025-09</v>
      </c>
      <c r="AD22" s="14" t="str">
        <f>IF(NOT(ISNUMBER(NPS_Data[[#This Row],[ResolutionHours]])),"Open", IF(NPS_Data[[#This Row],[ResolutionHours]]&gt;72,"Breach","OK"))</f>
        <v>OK</v>
      </c>
      <c r="AE22" s="14">
        <f>IF(AND(ISNUMBER(NPS_Data[[#This Row],[CreatedDateTime]]), ISNUMBER(NPS_Data[[#This Row],[ResolvedDateTime]])), 1, 0)</f>
        <v>1</v>
      </c>
      <c r="AF22" s="48" t="str">
        <f>IF(NOT(ISNA(NPS_Data[[#This Row],[CreatedDateTime]])), TEXT(NPS_Data[[#This Row],[CreatedDateTime]],"dddd"), "")</f>
        <v>Monday</v>
      </c>
    </row>
    <row r="23" spans="1:32" x14ac:dyDescent="0.25">
      <c r="A23" s="2" t="s">
        <v>183</v>
      </c>
      <c r="B23" s="2" t="s">
        <v>172</v>
      </c>
      <c r="C23" s="2" t="s">
        <v>184</v>
      </c>
      <c r="D2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45891.841898148145</v>
      </c>
      <c r="E23" s="2" t="s">
        <v>20</v>
      </c>
      <c r="F23" s="2" t="s">
        <v>21</v>
      </c>
      <c r="G23" s="2" t="s">
        <v>185</v>
      </c>
      <c r="H23"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45899.555046296293</v>
      </c>
      <c r="I23" s="2" t="s">
        <v>23</v>
      </c>
      <c r="J23" s="2" t="s">
        <v>23</v>
      </c>
      <c r="K23" s="2" t="s">
        <v>88</v>
      </c>
      <c r="L23" s="2" t="s">
        <v>186</v>
      </c>
      <c r="M23" s="2" t="s">
        <v>187</v>
      </c>
      <c r="N23" s="2" t="s">
        <v>188</v>
      </c>
      <c r="O23" s="2" t="s">
        <v>177</v>
      </c>
      <c r="P23" s="2" t="s">
        <v>189</v>
      </c>
      <c r="Q23" s="3">
        <v>10</v>
      </c>
      <c r="R23" s="2" t="s">
        <v>30</v>
      </c>
      <c r="S23" s="2" t="s">
        <v>31</v>
      </c>
      <c r="T23" s="2" t="str">
        <f>IF(OR(NPS_Data[[#This Row],[CreatedDateTime]]="",NPS_Data[[#This Row],[Assigned To]]="",NPS_Data[[#This Row],[Issue 2 - NPS]]="",NPS_Data[[#This Row],[Program Name]]=""),"Missing","OK")</f>
        <v>OK</v>
      </c>
      <c r="U23" s="2" t="str">
        <f>IF(
  AND(NPS_Data[[#This Row],[Status]]="Complete", OR(ISNA(NPS_Data[[#This Row],[ResolvedDateTime]]), ISBLANK(NPS_Data[[#This Row],[ResolvedDateTime]]))),
  "CompleteNoResolved",
  IF(
    AND(NPS_Data[[#This Row],[Status]]="Pending", NPS_Data[[#This Row],[Sub Status]]="Solved"),
    "PendingButSolved",
    "OK"
  )
)</f>
        <v>OK</v>
      </c>
      <c r="V2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3" s="2" t="str">
        <f>IFERROR(TRIM(CLEAN(NPS_Data[[#This Row],[Ticket All Remarks]])),"")</f>
        <v>Multiple interview rounds cleared but final selection goes to internal referrals. External candidates seem disadvantaged despite equal performance. || Resolution: Expanded alumni network for referral opportunities and insider advocacy</v>
      </c>
      <c r="X23" s="2" cm="1">
        <f t="array" aca="1" ref="X23" ca="1">IF(NPS_Data[[#This Row],[CleanRemark]]="","",
   SUMPRODUCT(CODE(MID(NPS_Data[[#This Row],[CleanRemark]],ROW(INDIRECT("1:"&amp;LEN(NPS_Data[[#This Row],[CleanRemark]]))),1))))</f>
        <v>22764</v>
      </c>
      <c r="Y23" s="2" t="str">
        <f>IF(COUNTIF(NPS_Data[Ticket No],NPS_Data[[#This Row],[Ticket No]])&gt;1,"Duplicate","OK")</f>
        <v>OK</v>
      </c>
      <c r="Z23" s="2" t="str">
        <f ca="1">IF(NPS_Data[[#This Row],[RemarkHash]]="","OK",
   IF(COUNTIF(NPS_Data[RemarkHash],NPS_Data[[#This Row],[RemarkHash]])&gt;1,"RepeatedRemark","OK"))</f>
        <v>RepeatedRemark</v>
      </c>
      <c r="AA23" s="17">
        <f>IF( AND( ISNUMBER(NPS_Data[[#This Row],[CreatedDateTime]]), ISNUMBER(NPS_Data[[#This Row],[ResolvedDateTime]]) ), (NPS_Data[[#This Row],[ResolvedDateTime]] - NPS_Data[[#This Row],[CreatedDateTime]]) * 24, 0 )</f>
        <v>185.11555555555969</v>
      </c>
      <c r="AB23" s="65" t="str">
        <f>IF(NOT(ISNA(NPS_Data[[#This Row],[CreatedDateTime]])),
   YEAR(NPS_Data[[#This Row],[CreatedDateTime]]) &amp; "-" &amp; TEXT(WEEKNUM(NPS_Data[[#This Row],[CreatedDateTime]],2),"00"),
   "")</f>
        <v>2025-34</v>
      </c>
      <c r="AC23" s="14" t="str">
        <f>IF(NOT(ISNA(NPS_Data[[#This Row],[CreatedDateTime]])), TEXT(NPS_Data[[#This Row],[CreatedDateTime]],"YYYY-MM"), "")</f>
        <v>2025-08</v>
      </c>
      <c r="AD23" s="14" t="str">
        <f>IF(NOT(ISNUMBER(NPS_Data[[#This Row],[ResolutionHours]])),"Open", IF(NPS_Data[[#This Row],[ResolutionHours]]&gt;72,"Breach","OK"))</f>
        <v>Breach</v>
      </c>
      <c r="AE23" s="14">
        <f>IF(AND(ISNUMBER(NPS_Data[[#This Row],[CreatedDateTime]]), ISNUMBER(NPS_Data[[#This Row],[ResolvedDateTime]])), 1, 0)</f>
        <v>1</v>
      </c>
      <c r="AF23" s="48" t="str">
        <f>IF(NOT(ISNA(NPS_Data[[#This Row],[CreatedDateTime]])), TEXT(NPS_Data[[#This Row],[CreatedDateTime]],"dddd"), "")</f>
        <v>Friday</v>
      </c>
    </row>
    <row r="24" spans="1:32" x14ac:dyDescent="0.25">
      <c r="A24" s="2" t="s">
        <v>190</v>
      </c>
      <c r="B24" s="2" t="s">
        <v>191</v>
      </c>
      <c r="C24" s="2" t="s">
        <v>192</v>
      </c>
      <c r="D2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45900.516099537039</v>
      </c>
      <c r="E24" s="2" t="s">
        <v>44</v>
      </c>
      <c r="F24" s="2" t="s">
        <v>72</v>
      </c>
      <c r="G24" s="2" t="s">
        <v>193</v>
      </c>
      <c r="H24"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45910.734930555554</v>
      </c>
      <c r="I24" s="2" t="s">
        <v>23</v>
      </c>
      <c r="J24" s="2" t="s">
        <v>23</v>
      </c>
      <c r="K24" s="2" t="s">
        <v>88</v>
      </c>
      <c r="L24" s="2" t="s">
        <v>194</v>
      </c>
      <c r="M24" s="2" t="s">
        <v>195</v>
      </c>
      <c r="N24" s="2" t="s">
        <v>100</v>
      </c>
      <c r="O24" s="2" t="s">
        <v>28</v>
      </c>
      <c r="P24" s="2" t="s">
        <v>68</v>
      </c>
      <c r="Q24" s="3">
        <v>6</v>
      </c>
      <c r="R24" s="2" t="s">
        <v>30</v>
      </c>
      <c r="S24" s="2" t="s">
        <v>31</v>
      </c>
      <c r="T24" s="2" t="str">
        <f>IF(OR(NPS_Data[[#This Row],[CreatedDateTime]]="",NPS_Data[[#This Row],[Assigned To]]="",NPS_Data[[#This Row],[Issue 2 - NPS]]="",NPS_Data[[#This Row],[Program Name]]=""),"Missing","OK")</f>
        <v>OK</v>
      </c>
      <c r="U24" s="2" t="str">
        <f>IF(
  AND(NPS_Data[[#This Row],[Status]]="Complete", OR(ISNA(NPS_Data[[#This Row],[ResolvedDateTime]]), ISBLANK(NPS_Data[[#This Row],[ResolvedDateTime]]))),
  "CompleteNoResolved",
  IF(
    AND(NPS_Data[[#This Row],[Status]]="Pending", NPS_Data[[#This Row],[Sub Status]]="Solved"),
    "PendingButSolved",
    "OK"
  )
)</f>
        <v>OK</v>
      </c>
      <c r="V2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4" s="2" t="str">
        <f>IFERROR(TRIM(CLEAN(NPS_Data[[#This Row],[Ticket All Remarks]])),"")</f>
        <v>Sales promised 100% job guarantee within 6 months but placement team says no such commitment exists. Feel misled about course outcomes. || Resolution: Clarified placement support terms and provided additional career assistance</v>
      </c>
      <c r="X24" s="2" cm="1">
        <f t="array" aca="1" ref="X24" ca="1">IF(NPS_Data[[#This Row],[CleanRemark]]="","",
   SUMPRODUCT(CODE(MID(NPS_Data[[#This Row],[CleanRemark]],ROW(INDIRECT("1:"&amp;LEN(NPS_Data[[#This Row],[CleanRemark]]))),1))))</f>
        <v>21446</v>
      </c>
      <c r="Y24" s="2" t="str">
        <f>IF(COUNTIF(NPS_Data[Ticket No],NPS_Data[[#This Row],[Ticket No]])&gt;1,"Duplicate","OK")</f>
        <v>OK</v>
      </c>
      <c r="Z24" s="2" t="str">
        <f ca="1">IF(NPS_Data[[#This Row],[RemarkHash]]="","OK",
   IF(COUNTIF(NPS_Data[RemarkHash],NPS_Data[[#This Row],[RemarkHash]])&gt;1,"RepeatedRemark","OK"))</f>
        <v>RepeatedRemark</v>
      </c>
      <c r="AA24" s="17">
        <f>IF( AND( ISNUMBER(NPS_Data[[#This Row],[CreatedDateTime]]), ISNUMBER(NPS_Data[[#This Row],[ResolvedDateTime]]) ), (NPS_Data[[#This Row],[ResolvedDateTime]] - NPS_Data[[#This Row],[CreatedDateTime]]) * 24, 0 )</f>
        <v>245.25194444437511</v>
      </c>
      <c r="AB24" s="65" t="str">
        <f>IF(NOT(ISNA(NPS_Data[[#This Row],[CreatedDateTime]])),
   YEAR(NPS_Data[[#This Row],[CreatedDateTime]]) &amp; "-" &amp; TEXT(WEEKNUM(NPS_Data[[#This Row],[CreatedDateTime]],2),"00"),
   "")</f>
        <v>2025-35</v>
      </c>
      <c r="AC24" s="14" t="str">
        <f>IF(NOT(ISNA(NPS_Data[[#This Row],[CreatedDateTime]])), TEXT(NPS_Data[[#This Row],[CreatedDateTime]],"YYYY-MM"), "")</f>
        <v>2025-08</v>
      </c>
      <c r="AD24" s="14" t="str">
        <f>IF(NOT(ISNUMBER(NPS_Data[[#This Row],[ResolutionHours]])),"Open", IF(NPS_Data[[#This Row],[ResolutionHours]]&gt;72,"Breach","OK"))</f>
        <v>Breach</v>
      </c>
      <c r="AE24" s="14">
        <f>IF(AND(ISNUMBER(NPS_Data[[#This Row],[CreatedDateTime]]), ISNUMBER(NPS_Data[[#This Row],[ResolvedDateTime]])), 1, 0)</f>
        <v>1</v>
      </c>
      <c r="AF24" s="48" t="str">
        <f>IF(NOT(ISNA(NPS_Data[[#This Row],[CreatedDateTime]])), TEXT(NPS_Data[[#This Row],[CreatedDateTime]],"dddd"), "")</f>
        <v>Sunday</v>
      </c>
    </row>
    <row r="25" spans="1:32" x14ac:dyDescent="0.25">
      <c r="A25" s="2" t="s">
        <v>196</v>
      </c>
      <c r="B25" s="2" t="s">
        <v>197</v>
      </c>
      <c r="C25" s="2" t="s">
        <v>198</v>
      </c>
      <c r="D2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45914.400208333333</v>
      </c>
      <c r="E25" s="2" t="s">
        <v>87</v>
      </c>
      <c r="H25"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25" s="2" t="s">
        <v>23</v>
      </c>
      <c r="J25" s="2" t="s">
        <v>23</v>
      </c>
      <c r="K25" s="2" t="s">
        <v>38</v>
      </c>
      <c r="L25" s="2" t="s">
        <v>199</v>
      </c>
      <c r="M25" s="2" t="s">
        <v>200</v>
      </c>
      <c r="N25" s="2" t="s">
        <v>201</v>
      </c>
      <c r="O25" s="2" t="s">
        <v>41</v>
      </c>
      <c r="P25" s="2" t="s">
        <v>158</v>
      </c>
      <c r="Q25" s="3">
        <v>2</v>
      </c>
      <c r="R25" s="2" t="s">
        <v>49</v>
      </c>
      <c r="S25" s="2" t="s">
        <v>50</v>
      </c>
      <c r="T25" s="2" t="str">
        <f>IF(OR(NPS_Data[[#This Row],[CreatedDateTime]]="",NPS_Data[[#This Row],[Assigned To]]="",NPS_Data[[#This Row],[Issue 2 - NPS]]="",NPS_Data[[#This Row],[Program Name]]=""),"Missing","OK")</f>
        <v>OK</v>
      </c>
      <c r="U25" s="2" t="str">
        <f>IF(
  AND(NPS_Data[[#This Row],[Status]]="Complete", OR(ISNA(NPS_Data[[#This Row],[ResolvedDateTime]]), ISBLANK(NPS_Data[[#This Row],[ResolvedDateTime]]))),
  "CompleteNoResolved",
  IF(
    AND(NPS_Data[[#This Row],[Status]]="Pending", NPS_Data[[#This Row],[Sub Status]]="Solved"),
    "PendingButSolved",
    "OK"
  )
)</f>
        <v>OK</v>
      </c>
      <c r="V2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5" s="2" t="str">
        <f>IFERROR(TRIM(CLEAN(NPS_Data[[#This Row],[Ticket All Remarks]])),"")</f>
        <v>Weekend DevOps Jul25 timing (10 AM - 2 PM) conflicts with family time. Children's activities and household responsibilities suffer due to class schedule. || Resolution: Created flexible weekend options with shorter session formats</v>
      </c>
      <c r="X25" s="2" cm="1">
        <f t="array" aca="1" ref="X25" ca="1">IF(NPS_Data[[#This Row],[CleanRemark]]="","",
   SUMPRODUCT(CODE(MID(NPS_Data[[#This Row],[CleanRemark]],ROW(INDIRECT("1:"&amp;LEN(NPS_Data[[#This Row],[CleanRemark]]))),1))))</f>
        <v>21344</v>
      </c>
      <c r="Y25" s="2" t="str">
        <f>IF(COUNTIF(NPS_Data[Ticket No],NPS_Data[[#This Row],[Ticket No]])&gt;1,"Duplicate","OK")</f>
        <v>OK</v>
      </c>
      <c r="Z25" s="2" t="str">
        <f ca="1">IF(NPS_Data[[#This Row],[RemarkHash]]="","OK",
   IF(COUNTIF(NPS_Data[RemarkHash],NPS_Data[[#This Row],[RemarkHash]])&gt;1,"RepeatedRemark","OK"))</f>
        <v>RepeatedRemark</v>
      </c>
      <c r="AA25" s="17">
        <f>IF( AND( ISNUMBER(NPS_Data[[#This Row],[CreatedDateTime]]), ISNUMBER(NPS_Data[[#This Row],[ResolvedDateTime]]) ), (NPS_Data[[#This Row],[ResolvedDateTime]] - NPS_Data[[#This Row],[CreatedDateTime]]) * 24, 0 )</f>
        <v>0</v>
      </c>
      <c r="AB25" s="65" t="str">
        <f>IF(NOT(ISNA(NPS_Data[[#This Row],[CreatedDateTime]])),
   YEAR(NPS_Data[[#This Row],[CreatedDateTime]]) &amp; "-" &amp; TEXT(WEEKNUM(NPS_Data[[#This Row],[CreatedDateTime]],2),"00"),
   "")</f>
        <v>2025-37</v>
      </c>
      <c r="AC25" s="14" t="str">
        <f>IF(NOT(ISNA(NPS_Data[[#This Row],[CreatedDateTime]])), TEXT(NPS_Data[[#This Row],[CreatedDateTime]],"YYYY-MM"), "")</f>
        <v>2025-09</v>
      </c>
      <c r="AD25" s="14" t="str">
        <f>IF(NOT(ISNUMBER(NPS_Data[[#This Row],[ResolutionHours]])),"Open", IF(NPS_Data[[#This Row],[ResolutionHours]]&gt;72,"Breach","OK"))</f>
        <v>OK</v>
      </c>
      <c r="AE25" s="14">
        <f>IF(AND(ISNUMBER(NPS_Data[[#This Row],[CreatedDateTime]]), ISNUMBER(NPS_Data[[#This Row],[ResolvedDateTime]])), 1, 0)</f>
        <v>0</v>
      </c>
      <c r="AF25" s="48" t="str">
        <f>IF(NOT(ISNA(NPS_Data[[#This Row],[CreatedDateTime]])), TEXT(NPS_Data[[#This Row],[CreatedDateTime]],"dddd"), "")</f>
        <v>Sunday</v>
      </c>
    </row>
    <row r="26" spans="1:32" x14ac:dyDescent="0.25">
      <c r="A26" s="2" t="s">
        <v>202</v>
      </c>
      <c r="B26" s="2" t="s">
        <v>191</v>
      </c>
      <c r="C26" s="2" t="s">
        <v>203</v>
      </c>
      <c r="D2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45900.494166666664</v>
      </c>
      <c r="E26" s="2" t="s">
        <v>44</v>
      </c>
      <c r="F26" s="2" t="s">
        <v>33</v>
      </c>
      <c r="G26" s="2" t="s">
        <v>204</v>
      </c>
      <c r="H26"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45902.646574074075</v>
      </c>
      <c r="I26" s="2" t="s">
        <v>23</v>
      </c>
      <c r="J26" s="2" t="s">
        <v>23</v>
      </c>
      <c r="K26" s="2" t="s">
        <v>24</v>
      </c>
      <c r="L26" s="2" t="s">
        <v>205</v>
      </c>
      <c r="M26" s="2" t="s">
        <v>206</v>
      </c>
      <c r="N26" s="2" t="s">
        <v>207</v>
      </c>
      <c r="O26" s="2" t="s">
        <v>28</v>
      </c>
      <c r="P26" s="2" t="s">
        <v>125</v>
      </c>
      <c r="Q26" s="3">
        <v>5</v>
      </c>
      <c r="R26" s="2" t="s">
        <v>30</v>
      </c>
      <c r="S26" s="2" t="s">
        <v>31</v>
      </c>
      <c r="T26" s="2" t="str">
        <f>IF(OR(NPS_Data[[#This Row],[CreatedDateTime]]="",NPS_Data[[#This Row],[Assigned To]]="",NPS_Data[[#This Row],[Issue 2 - NPS]]="",NPS_Data[[#This Row],[Program Name]]=""),"Missing","OK")</f>
        <v>OK</v>
      </c>
      <c r="U26" s="2" t="str">
        <f>IF(
  AND(NPS_Data[[#This Row],[Status]]="Complete", OR(ISNA(NPS_Data[[#This Row],[ResolvedDateTime]]), ISBLANK(NPS_Data[[#This Row],[ResolvedDateTime]]))),
  "CompleteNoResolved",
  IF(
    AND(NPS_Data[[#This Row],[Status]]="Pending", NPS_Data[[#This Row],[Sub Status]]="Solved"),
    "PendingButSolved",
    "OK"
  )
)</f>
        <v>OK</v>
      </c>
      <c r="V2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6" s="2" t="str">
        <f>IFERROR(TRIM(CLEAN(NPS_Data[[#This Row],[Ticket All Remarks]])),"")</f>
        <v>Language barrier with some TAs makes doubt sessions ineffective. Accent and communication style difficult to understand during technical explanations. || Resolution: Provided communication training and paired TAs with complementary strengths</v>
      </c>
      <c r="X26" s="2" cm="1">
        <f t="array" aca="1" ref="X26" ca="1">IF(NPS_Data[[#This Row],[CleanRemark]]="","",
   SUMPRODUCT(CODE(MID(NPS_Data[[#This Row],[CleanRemark]],ROW(INDIRECT("1:"&amp;LEN(NPS_Data[[#This Row],[CleanRemark]]))),1))))</f>
        <v>23351</v>
      </c>
      <c r="Y26" s="2" t="str">
        <f>IF(COUNTIF(NPS_Data[Ticket No],NPS_Data[[#This Row],[Ticket No]])&gt;1,"Duplicate","OK")</f>
        <v>OK</v>
      </c>
      <c r="Z26" s="2" t="str">
        <f ca="1">IF(NPS_Data[[#This Row],[RemarkHash]]="","OK",
   IF(COUNTIF(NPS_Data[RemarkHash],NPS_Data[[#This Row],[RemarkHash]])&gt;1,"RepeatedRemark","OK"))</f>
        <v>RepeatedRemark</v>
      </c>
      <c r="AA26" s="17">
        <f>IF( AND( ISNUMBER(NPS_Data[[#This Row],[CreatedDateTime]]), ISNUMBER(NPS_Data[[#This Row],[ResolvedDateTime]]) ), (NPS_Data[[#This Row],[ResolvedDateTime]] - NPS_Data[[#This Row],[CreatedDateTime]]) * 24, 0 )</f>
        <v>51.65777777787298</v>
      </c>
      <c r="AB26" s="65" t="str">
        <f>IF(NOT(ISNA(NPS_Data[[#This Row],[CreatedDateTime]])),
   YEAR(NPS_Data[[#This Row],[CreatedDateTime]]) &amp; "-" &amp; TEXT(WEEKNUM(NPS_Data[[#This Row],[CreatedDateTime]],2),"00"),
   "")</f>
        <v>2025-35</v>
      </c>
      <c r="AC26" s="14" t="str">
        <f>IF(NOT(ISNA(NPS_Data[[#This Row],[CreatedDateTime]])), TEXT(NPS_Data[[#This Row],[CreatedDateTime]],"YYYY-MM"), "")</f>
        <v>2025-08</v>
      </c>
      <c r="AD26" s="14" t="str">
        <f>IF(NOT(ISNUMBER(NPS_Data[[#This Row],[ResolutionHours]])),"Open", IF(NPS_Data[[#This Row],[ResolutionHours]]&gt;72,"Breach","OK"))</f>
        <v>OK</v>
      </c>
      <c r="AE26" s="14">
        <f>IF(AND(ISNUMBER(NPS_Data[[#This Row],[CreatedDateTime]]), ISNUMBER(NPS_Data[[#This Row],[ResolvedDateTime]])), 1, 0)</f>
        <v>1</v>
      </c>
      <c r="AF26" s="48" t="str">
        <f>IF(NOT(ISNA(NPS_Data[[#This Row],[CreatedDateTime]])), TEXT(NPS_Data[[#This Row],[CreatedDateTime]],"dddd"), "")</f>
        <v>Sunday</v>
      </c>
    </row>
    <row r="27" spans="1:32" x14ac:dyDescent="0.25">
      <c r="A27" s="2" t="s">
        <v>208</v>
      </c>
      <c r="B27" s="2" t="s">
        <v>209</v>
      </c>
      <c r="C27" s="2" t="s">
        <v>210</v>
      </c>
      <c r="D2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45908.580289351848</v>
      </c>
      <c r="E27" s="2" t="s">
        <v>104</v>
      </c>
      <c r="F27" s="2" t="s">
        <v>211</v>
      </c>
      <c r="G27" s="2" t="s">
        <v>212</v>
      </c>
      <c r="H27"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45918.534409722219</v>
      </c>
      <c r="I27" s="2" t="s">
        <v>23</v>
      </c>
      <c r="J27" s="2" t="s">
        <v>23</v>
      </c>
      <c r="K27" s="2" t="s">
        <v>56</v>
      </c>
      <c r="L27" s="2" t="s">
        <v>213</v>
      </c>
      <c r="M27" s="2" t="s">
        <v>214</v>
      </c>
      <c r="N27" s="2" t="s">
        <v>215</v>
      </c>
      <c r="O27" s="2" t="s">
        <v>41</v>
      </c>
      <c r="P27" s="2" t="s">
        <v>216</v>
      </c>
      <c r="Q27" s="3">
        <v>7</v>
      </c>
      <c r="R27" s="2" t="s">
        <v>30</v>
      </c>
      <c r="S27" s="2" t="s">
        <v>31</v>
      </c>
      <c r="T27" s="2" t="str">
        <f>IF(OR(NPS_Data[[#This Row],[CreatedDateTime]]="",NPS_Data[[#This Row],[Assigned To]]="",NPS_Data[[#This Row],[Issue 2 - NPS]]="",NPS_Data[[#This Row],[Program Name]]=""),"Missing","OK")</f>
        <v>OK</v>
      </c>
      <c r="U27" s="2" t="str">
        <f>IF(
  AND(NPS_Data[[#This Row],[Status]]="Complete", OR(ISNA(NPS_Data[[#This Row],[ResolvedDateTime]]), ISBLANK(NPS_Data[[#This Row],[ResolvedDateTime]]))),
  "CompleteNoResolved",
  IF(
    AND(NPS_Data[[#This Row],[Status]]="Pending", NPS_Data[[#This Row],[Sub Status]]="Solved"),
    "PendingButSolved",
    "OK"
  )
)</f>
        <v>OK</v>
      </c>
      <c r="V2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7" s="2" t="str">
        <f>IFERROR(TRIM(CLEAN(NPS_Data[[#This Row],[Ticket All Remarks]])),"")</f>
        <v>Mentor Amit Patel provides only generic advice like 'practice more coding'. Asked specific questions about Google interview process but got template responses. || Resolution: Connected with mentor who recently joined FAANG Uber</v>
      </c>
      <c r="X27" s="2" cm="1">
        <f t="array" aca="1" ref="X27" ca="1">IF(NPS_Data[[#This Row],[CleanRemark]]="","",
   SUMPRODUCT(CODE(MID(NPS_Data[[#This Row],[CleanRemark]],ROW(INDIRECT("1:"&amp;LEN(NPS_Data[[#This Row],[CleanRemark]]))),1))))</f>
        <v>21424</v>
      </c>
      <c r="Y27" s="2" t="str">
        <f>IF(COUNTIF(NPS_Data[Ticket No],NPS_Data[[#This Row],[Ticket No]])&gt;1,"Duplicate","OK")</f>
        <v>OK</v>
      </c>
      <c r="Z27" s="2" t="str">
        <f ca="1">IF(NPS_Data[[#This Row],[RemarkHash]]="","OK",
   IF(COUNTIF(NPS_Data[RemarkHash],NPS_Data[[#This Row],[RemarkHash]])&gt;1,"RepeatedRemark","OK"))</f>
        <v>OK</v>
      </c>
      <c r="AA27" s="17">
        <f>IF( AND( ISNUMBER(NPS_Data[[#This Row],[CreatedDateTime]]), ISNUMBER(NPS_Data[[#This Row],[ResolvedDateTime]]) ), (NPS_Data[[#This Row],[ResolvedDateTime]] - NPS_Data[[#This Row],[CreatedDateTime]]) * 24, 0 )</f>
        <v>238.89888888888527</v>
      </c>
      <c r="AB27" s="65" t="str">
        <f>IF(NOT(ISNA(NPS_Data[[#This Row],[CreatedDateTime]])),
   YEAR(NPS_Data[[#This Row],[CreatedDateTime]]) &amp; "-" &amp; TEXT(WEEKNUM(NPS_Data[[#This Row],[CreatedDateTime]],2),"00"),
   "")</f>
        <v>2025-37</v>
      </c>
      <c r="AC27" s="14" t="str">
        <f>IF(NOT(ISNA(NPS_Data[[#This Row],[CreatedDateTime]])), TEXT(NPS_Data[[#This Row],[CreatedDateTime]],"YYYY-MM"), "")</f>
        <v>2025-09</v>
      </c>
      <c r="AD27" s="14" t="str">
        <f>IF(NOT(ISNUMBER(NPS_Data[[#This Row],[ResolutionHours]])),"Open", IF(NPS_Data[[#This Row],[ResolutionHours]]&gt;72,"Breach","OK"))</f>
        <v>Breach</v>
      </c>
      <c r="AE27" s="14">
        <f>IF(AND(ISNUMBER(NPS_Data[[#This Row],[CreatedDateTime]]), ISNUMBER(NPS_Data[[#This Row],[ResolvedDateTime]])), 1, 0)</f>
        <v>1</v>
      </c>
      <c r="AF27" s="48" t="str">
        <f>IF(NOT(ISNA(NPS_Data[[#This Row],[CreatedDateTime]])), TEXT(NPS_Data[[#This Row],[CreatedDateTime]],"dddd"), "")</f>
        <v>Monday</v>
      </c>
    </row>
    <row r="28" spans="1:32" x14ac:dyDescent="0.25">
      <c r="A28" s="2" t="s">
        <v>217</v>
      </c>
      <c r="B28" s="2" t="s">
        <v>211</v>
      </c>
      <c r="C28" s="2" t="s">
        <v>218</v>
      </c>
      <c r="D2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45918.482685185183</v>
      </c>
      <c r="E28" s="2" t="s">
        <v>219</v>
      </c>
      <c r="F28" s="2" t="s">
        <v>105</v>
      </c>
      <c r="G28" s="2" t="s">
        <v>220</v>
      </c>
      <c r="H28"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45922.570891203701</v>
      </c>
      <c r="I28" s="2" t="s">
        <v>23</v>
      </c>
      <c r="J28" s="2" t="s">
        <v>23</v>
      </c>
      <c r="K28" s="2" t="s">
        <v>88</v>
      </c>
      <c r="L28" s="2" t="s">
        <v>221</v>
      </c>
      <c r="M28" s="2" t="s">
        <v>222</v>
      </c>
      <c r="N28" s="2" t="s">
        <v>131</v>
      </c>
      <c r="O28" s="2" t="s">
        <v>177</v>
      </c>
      <c r="P28" s="2" t="s">
        <v>132</v>
      </c>
      <c r="Q28" s="3">
        <v>6</v>
      </c>
      <c r="R28" s="2" t="s">
        <v>30</v>
      </c>
      <c r="S28" s="2" t="s">
        <v>31</v>
      </c>
      <c r="T28" s="2" t="str">
        <f>IF(OR(NPS_Data[[#This Row],[CreatedDateTime]]="",NPS_Data[[#This Row],[Assigned To]]="",NPS_Data[[#This Row],[Issue 2 - NPS]]="",NPS_Data[[#This Row],[Program Name]]=""),"Missing","OK")</f>
        <v>OK</v>
      </c>
      <c r="U28" s="2" t="str">
        <f>IF(
  AND(NPS_Data[[#This Row],[Status]]="Complete", OR(ISNA(NPS_Data[[#This Row],[ResolvedDateTime]]), ISBLANK(NPS_Data[[#This Row],[ResolvedDateTime]]))),
  "CompleteNoResolved",
  IF(
    AND(NPS_Data[[#This Row],[Status]]="Pending", NPS_Data[[#This Row],[Sub Status]]="Solved"),
    "PendingButSolved",
    "OK"
  )
)</f>
        <v>OK</v>
      </c>
      <c r="V2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8" s="2" t="str">
        <f>IFERROR(TRIM(CLEAN(NPS_Data[[#This Row],[Ticket All Remarks]])),"")</f>
        <v>Placement eligibility criteria require 70%+ in graduation but scored 68% due to family financial crisis during college. Seems unfair exclusion. || Resolution: Reviewed eligibility criteria and created exception process for genuine hardship cases</v>
      </c>
      <c r="X28" s="2" cm="1">
        <f t="array" aca="1" ref="X28" ca="1">IF(NPS_Data[[#This Row],[CleanRemark]]="","",
   SUMPRODUCT(CODE(MID(NPS_Data[[#This Row],[CleanRemark]],ROW(INDIRECT("1:"&amp;LEN(NPS_Data[[#This Row],[CleanRemark]]))),1))))</f>
        <v>23171</v>
      </c>
      <c r="Y28" s="2" t="str">
        <f>IF(COUNTIF(NPS_Data[Ticket No],NPS_Data[[#This Row],[Ticket No]])&gt;1,"Duplicate","OK")</f>
        <v>OK</v>
      </c>
      <c r="Z28" s="2" t="str">
        <f ca="1">IF(NPS_Data[[#This Row],[RemarkHash]]="","OK",
   IF(COUNTIF(NPS_Data[RemarkHash],NPS_Data[[#This Row],[RemarkHash]])&gt;1,"RepeatedRemark","OK"))</f>
        <v>RepeatedRemark</v>
      </c>
      <c r="AA28" s="17">
        <f>IF( AND( ISNUMBER(NPS_Data[[#This Row],[CreatedDateTime]]), ISNUMBER(NPS_Data[[#This Row],[ResolvedDateTime]]) ), (NPS_Data[[#This Row],[ResolvedDateTime]] - NPS_Data[[#This Row],[CreatedDateTime]]) * 24, 0 )</f>
        <v>98.116944444424007</v>
      </c>
      <c r="AB28" s="65" t="str">
        <f>IF(NOT(ISNA(NPS_Data[[#This Row],[CreatedDateTime]])),
   YEAR(NPS_Data[[#This Row],[CreatedDateTime]]) &amp; "-" &amp; TEXT(WEEKNUM(NPS_Data[[#This Row],[CreatedDateTime]],2),"00"),
   "")</f>
        <v>2025-38</v>
      </c>
      <c r="AC28" s="14" t="str">
        <f>IF(NOT(ISNA(NPS_Data[[#This Row],[CreatedDateTime]])), TEXT(NPS_Data[[#This Row],[CreatedDateTime]],"YYYY-MM"), "")</f>
        <v>2025-09</v>
      </c>
      <c r="AD28" s="14" t="str">
        <f>IF(NOT(ISNUMBER(NPS_Data[[#This Row],[ResolutionHours]])),"Open", IF(NPS_Data[[#This Row],[ResolutionHours]]&gt;72,"Breach","OK"))</f>
        <v>Breach</v>
      </c>
      <c r="AE28" s="14">
        <f>IF(AND(ISNUMBER(NPS_Data[[#This Row],[CreatedDateTime]]), ISNUMBER(NPS_Data[[#This Row],[ResolvedDateTime]])), 1, 0)</f>
        <v>1</v>
      </c>
      <c r="AF28" s="48" t="str">
        <f>IF(NOT(ISNA(NPS_Data[[#This Row],[CreatedDateTime]])), TEXT(NPS_Data[[#This Row],[CreatedDateTime]],"dddd"), "")</f>
        <v>Thursday</v>
      </c>
    </row>
    <row r="29" spans="1:32" x14ac:dyDescent="0.25">
      <c r="A29" s="2" t="s">
        <v>223</v>
      </c>
      <c r="B29" s="2" t="s">
        <v>224</v>
      </c>
      <c r="C29" s="2" t="s">
        <v>225</v>
      </c>
      <c r="D2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45872.576967592591</v>
      </c>
      <c r="E29" s="2" t="s">
        <v>113</v>
      </c>
      <c r="F29" s="2" t="s">
        <v>226</v>
      </c>
      <c r="G29" s="2" t="s">
        <v>227</v>
      </c>
      <c r="H29"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45884.572858796295</v>
      </c>
      <c r="I29" s="2" t="s">
        <v>23</v>
      </c>
      <c r="J29" s="2" t="s">
        <v>23</v>
      </c>
      <c r="K29" s="2" t="s">
        <v>38</v>
      </c>
      <c r="L29" s="2" t="s">
        <v>228</v>
      </c>
      <c r="M29" s="2" t="s">
        <v>229</v>
      </c>
      <c r="N29" s="2" t="s">
        <v>230</v>
      </c>
      <c r="O29" s="2" t="s">
        <v>41</v>
      </c>
      <c r="P29" s="2" t="s">
        <v>29</v>
      </c>
      <c r="Q29" s="3">
        <v>2</v>
      </c>
      <c r="R29" s="2" t="s">
        <v>30</v>
      </c>
      <c r="S29" s="2" t="s">
        <v>31</v>
      </c>
      <c r="T29" s="2" t="str">
        <f>IF(OR(NPS_Data[[#This Row],[CreatedDateTime]]="",NPS_Data[[#This Row],[Assigned To]]="",NPS_Data[[#This Row],[Issue 2 - NPS]]="",NPS_Data[[#This Row],[Program Name]]=""),"Missing","OK")</f>
        <v>OK</v>
      </c>
      <c r="U29" s="2" t="str">
        <f>IF(
  AND(NPS_Data[[#This Row],[Status]]="Complete", OR(ISNA(NPS_Data[[#This Row],[ResolvedDateTime]]), ISBLANK(NPS_Data[[#This Row],[ResolvedDateTime]]))),
  "CompleteNoResolved",
  IF(
    AND(NPS_Data[[#This Row],[Status]]="Pending", NPS_Data[[#This Row],[Sub Status]]="Solved"),
    "PendingButSolved",
    "OK"
  )
)</f>
        <v>OK</v>
      </c>
      <c r="V2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9" s="2" t="str">
        <f>IFERROR(TRIM(CLEAN(NPS_Data[[#This Row],[Ticket All Remarks]])),"")</f>
        <v>Real-time project deployment challenges not addressed in curriculum. Local development works but AWS deployment fails with configuration issues. || Resolution: Created deployment workshop series with hands-on troubleshooting</v>
      </c>
      <c r="X29" s="2" cm="1">
        <f t="array" aca="1" ref="X29" ca="1">IF(NPS_Data[[#This Row],[CleanRemark]]="","",
   SUMPRODUCT(CODE(MID(NPS_Data[[#This Row],[CleanRemark]],ROW(INDIRECT("1:"&amp;LEN(NPS_Data[[#This Row],[CleanRemark]]))),1))))</f>
        <v>21801</v>
      </c>
      <c r="Y29" s="2" t="str">
        <f>IF(COUNTIF(NPS_Data[Ticket No],NPS_Data[[#This Row],[Ticket No]])&gt;1,"Duplicate","OK")</f>
        <v>OK</v>
      </c>
      <c r="Z29" s="2" t="str">
        <f ca="1">IF(NPS_Data[[#This Row],[RemarkHash]]="","OK",
   IF(COUNTIF(NPS_Data[RemarkHash],NPS_Data[[#This Row],[RemarkHash]])&gt;1,"RepeatedRemark","OK"))</f>
        <v>RepeatedRemark</v>
      </c>
      <c r="AA29" s="17">
        <f>IF( AND( ISNUMBER(NPS_Data[[#This Row],[CreatedDateTime]]), ISNUMBER(NPS_Data[[#This Row],[ResolvedDateTime]]) ), (NPS_Data[[#This Row],[ResolvedDateTime]] - NPS_Data[[#This Row],[CreatedDateTime]]) * 24, 0 )</f>
        <v>287.9013888888876</v>
      </c>
      <c r="AB29" s="65" t="str">
        <f>IF(NOT(ISNA(NPS_Data[[#This Row],[CreatedDateTime]])),
   YEAR(NPS_Data[[#This Row],[CreatedDateTime]]) &amp; "-" &amp; TEXT(WEEKNUM(NPS_Data[[#This Row],[CreatedDateTime]],2),"00"),
   "")</f>
        <v>2025-31</v>
      </c>
      <c r="AC29" s="14" t="str">
        <f>IF(NOT(ISNA(NPS_Data[[#This Row],[CreatedDateTime]])), TEXT(NPS_Data[[#This Row],[CreatedDateTime]],"YYYY-MM"), "")</f>
        <v>2025-08</v>
      </c>
      <c r="AD29" s="14" t="str">
        <f>IF(NOT(ISNUMBER(NPS_Data[[#This Row],[ResolutionHours]])),"Open", IF(NPS_Data[[#This Row],[ResolutionHours]]&gt;72,"Breach","OK"))</f>
        <v>Breach</v>
      </c>
      <c r="AE29" s="14">
        <f>IF(AND(ISNUMBER(NPS_Data[[#This Row],[CreatedDateTime]]), ISNUMBER(NPS_Data[[#This Row],[ResolvedDateTime]])), 1, 0)</f>
        <v>1</v>
      </c>
      <c r="AF29" s="48" t="str">
        <f>IF(NOT(ISNA(NPS_Data[[#This Row],[CreatedDateTime]])), TEXT(NPS_Data[[#This Row],[CreatedDateTime]],"dddd"), "")</f>
        <v>Sunday</v>
      </c>
    </row>
    <row r="30" spans="1:32" x14ac:dyDescent="0.25">
      <c r="A30" s="2" t="s">
        <v>231</v>
      </c>
      <c r="B30" s="2" t="s">
        <v>226</v>
      </c>
      <c r="C30" s="2" t="s">
        <v>232</v>
      </c>
      <c r="D3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45884.671863425923</v>
      </c>
      <c r="E30" s="2" t="s">
        <v>44</v>
      </c>
      <c r="F30" s="2" t="s">
        <v>233</v>
      </c>
      <c r="G30" s="2" t="s">
        <v>234</v>
      </c>
      <c r="H30"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45889.461145833331</v>
      </c>
      <c r="I30" s="2" t="s">
        <v>23</v>
      </c>
      <c r="J30" s="2" t="s">
        <v>23</v>
      </c>
      <c r="K30" s="2" t="s">
        <v>24</v>
      </c>
      <c r="L30" s="2" t="s">
        <v>235</v>
      </c>
      <c r="M30" s="2" t="s">
        <v>236</v>
      </c>
      <c r="N30" s="2" t="s">
        <v>100</v>
      </c>
      <c r="O30" s="2" t="s">
        <v>177</v>
      </c>
      <c r="P30" s="2" t="s">
        <v>68</v>
      </c>
      <c r="Q30" s="3">
        <v>3</v>
      </c>
      <c r="R30" s="2" t="s">
        <v>30</v>
      </c>
      <c r="S30" s="2" t="s">
        <v>31</v>
      </c>
      <c r="T30" s="2" t="str">
        <f>IF(OR(NPS_Data[[#This Row],[CreatedDateTime]]="",NPS_Data[[#This Row],[Assigned To]]="",NPS_Data[[#This Row],[Issue 2 - NPS]]="",NPS_Data[[#This Row],[Program Name]]=""),"Missing","OK")</f>
        <v>OK</v>
      </c>
      <c r="U30" s="2" t="str">
        <f>IF(
  AND(NPS_Data[[#This Row],[Status]]="Complete", OR(ISNA(NPS_Data[[#This Row],[ResolvedDateTime]]), ISBLANK(NPS_Data[[#This Row],[ResolvedDateTime]]))),
  "CompleteNoResolved",
  IF(
    AND(NPS_Data[[#This Row],[Status]]="Pending", NPS_Data[[#This Row],[Sub Status]]="Solved"),
    "PendingButSolved",
    "OK"
  )
)</f>
        <v>OK</v>
      </c>
      <c r="V3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30" s="2" t="str">
        <f>IFERROR(TRIM(CLEAN(NPS_Data[[#This Row],[Ticket All Remarks]])),"")</f>
        <v>Sales promised 100% job guarantee within 6 months but placement team says no such commitment exists. Feel misled about course outcomes. || Resolution: Clarified placement support terms and provided additional career assistance</v>
      </c>
      <c r="X30" s="2" cm="1">
        <f t="array" aca="1" ref="X30" ca="1">IF(NPS_Data[[#This Row],[CleanRemark]]="","",
   SUMPRODUCT(CODE(MID(NPS_Data[[#This Row],[CleanRemark]],ROW(INDIRECT("1:"&amp;LEN(NPS_Data[[#This Row],[CleanRemark]]))),1))))</f>
        <v>21446</v>
      </c>
      <c r="Y30" s="2" t="str">
        <f>IF(COUNTIF(NPS_Data[Ticket No],NPS_Data[[#This Row],[Ticket No]])&gt;1,"Duplicate","OK")</f>
        <v>OK</v>
      </c>
      <c r="Z30" s="2" t="str">
        <f ca="1">IF(NPS_Data[[#This Row],[RemarkHash]]="","OK",
   IF(COUNTIF(NPS_Data[RemarkHash],NPS_Data[[#This Row],[RemarkHash]])&gt;1,"RepeatedRemark","OK"))</f>
        <v>RepeatedRemark</v>
      </c>
      <c r="AA30" s="17">
        <f>IF( AND( ISNUMBER(NPS_Data[[#This Row],[CreatedDateTime]]), ISNUMBER(NPS_Data[[#This Row],[ResolvedDateTime]]) ), (NPS_Data[[#This Row],[ResolvedDateTime]] - NPS_Data[[#This Row],[CreatedDateTime]]) * 24, 0 )</f>
        <v>114.94277777778916</v>
      </c>
      <c r="AB30" s="65" t="str">
        <f>IF(NOT(ISNA(NPS_Data[[#This Row],[CreatedDateTime]])),
   YEAR(NPS_Data[[#This Row],[CreatedDateTime]]) &amp; "-" &amp; TEXT(WEEKNUM(NPS_Data[[#This Row],[CreatedDateTime]],2),"00"),
   "")</f>
        <v>2025-33</v>
      </c>
      <c r="AC30" s="14" t="str">
        <f>IF(NOT(ISNA(NPS_Data[[#This Row],[CreatedDateTime]])), TEXT(NPS_Data[[#This Row],[CreatedDateTime]],"YYYY-MM"), "")</f>
        <v>2025-08</v>
      </c>
      <c r="AD30" s="14" t="str">
        <f>IF(NOT(ISNUMBER(NPS_Data[[#This Row],[ResolutionHours]])),"Open", IF(NPS_Data[[#This Row],[ResolutionHours]]&gt;72,"Breach","OK"))</f>
        <v>Breach</v>
      </c>
      <c r="AE30" s="14">
        <f>IF(AND(ISNUMBER(NPS_Data[[#This Row],[CreatedDateTime]]), ISNUMBER(NPS_Data[[#This Row],[ResolvedDateTime]])), 1, 0)</f>
        <v>1</v>
      </c>
      <c r="AF30" s="48" t="str">
        <f>IF(NOT(ISNA(NPS_Data[[#This Row],[CreatedDateTime]])), TEXT(NPS_Data[[#This Row],[CreatedDateTime]],"dddd"), "")</f>
        <v>Friday</v>
      </c>
    </row>
    <row r="31" spans="1:32" x14ac:dyDescent="0.25">
      <c r="A31" s="2" t="s">
        <v>237</v>
      </c>
      <c r="B31" s="2" t="s">
        <v>224</v>
      </c>
      <c r="C31" s="2" t="s">
        <v>238</v>
      </c>
      <c r="D3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45872.378634259258</v>
      </c>
      <c r="E31" s="2" t="s">
        <v>113</v>
      </c>
      <c r="H31"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31" s="2" t="s">
        <v>23</v>
      </c>
      <c r="J31" s="2" t="s">
        <v>23</v>
      </c>
      <c r="K31" s="2" t="s">
        <v>88</v>
      </c>
      <c r="L31" s="2" t="s">
        <v>239</v>
      </c>
      <c r="M31" s="2" t="s">
        <v>240</v>
      </c>
      <c r="N31" s="2" t="s">
        <v>241</v>
      </c>
      <c r="O31" s="2" t="s">
        <v>48</v>
      </c>
      <c r="P31" s="2" t="s">
        <v>242</v>
      </c>
      <c r="Q31" s="3">
        <v>1</v>
      </c>
      <c r="R31" s="2" t="s">
        <v>49</v>
      </c>
      <c r="S31" s="2" t="s">
        <v>50</v>
      </c>
      <c r="T31" s="2" t="str">
        <f>IF(OR(NPS_Data[[#This Row],[CreatedDateTime]]="",NPS_Data[[#This Row],[Assigned To]]="",NPS_Data[[#This Row],[Issue 2 - NPS]]="",NPS_Data[[#This Row],[Program Name]]=""),"Missing","OK")</f>
        <v>OK</v>
      </c>
      <c r="U31" s="2" t="str">
        <f>IF(
  AND(NPS_Data[[#This Row],[Status]]="Complete", OR(ISNA(NPS_Data[[#This Row],[ResolvedDateTime]]), ISBLANK(NPS_Data[[#This Row],[ResolvedDateTime]]))),
  "CompleteNoResolved",
  IF(
    AND(NPS_Data[[#This Row],[Status]]="Pending", NPS_Data[[#This Row],[Sub Status]]="Solved"),
    "PendingButSolved",
    "OK"
  )
)</f>
        <v>OK</v>
      </c>
      <c r="V3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31" s="2" t="str">
        <f>IFERROR(TRIM(CLEAN(NPS_Data[[#This Row],[Ticket All Remarks]])),"")</f>
        <v>Overqualified for junior positions, underqualified for senior roles. 6 years in different domain creates positioning challenge for appropriate level targeting. || Resolution: Developed targeted application strategy for career pivot roles</v>
      </c>
      <c r="X31" s="2" cm="1">
        <f t="array" aca="1" ref="X31" ca="1">IF(NPS_Data[[#This Row],[CleanRemark]]="","",
   SUMPRODUCT(CODE(MID(NPS_Data[[#This Row],[CleanRemark]],ROW(INDIRECT("1:"&amp;LEN(NPS_Data[[#This Row],[CleanRemark]]))),1))))</f>
        <v>23001</v>
      </c>
      <c r="Y31" s="2" t="str">
        <f>IF(COUNTIF(NPS_Data[Ticket No],NPS_Data[[#This Row],[Ticket No]])&gt;1,"Duplicate","OK")</f>
        <v>OK</v>
      </c>
      <c r="Z31" s="2" t="str">
        <f ca="1">IF(NPS_Data[[#This Row],[RemarkHash]]="","OK",
   IF(COUNTIF(NPS_Data[RemarkHash],NPS_Data[[#This Row],[RemarkHash]])&gt;1,"RepeatedRemark","OK"))</f>
        <v>RepeatedRemark</v>
      </c>
      <c r="AA31" s="17">
        <f>IF( AND( ISNUMBER(NPS_Data[[#This Row],[CreatedDateTime]]), ISNUMBER(NPS_Data[[#This Row],[ResolvedDateTime]]) ), (NPS_Data[[#This Row],[ResolvedDateTime]] - NPS_Data[[#This Row],[CreatedDateTime]]) * 24, 0 )</f>
        <v>0</v>
      </c>
      <c r="AB31" s="65" t="str">
        <f>IF(NOT(ISNA(NPS_Data[[#This Row],[CreatedDateTime]])),
   YEAR(NPS_Data[[#This Row],[CreatedDateTime]]) &amp; "-" &amp; TEXT(WEEKNUM(NPS_Data[[#This Row],[CreatedDateTime]],2),"00"),
   "")</f>
        <v>2025-31</v>
      </c>
      <c r="AC31" s="14" t="str">
        <f>IF(NOT(ISNA(NPS_Data[[#This Row],[CreatedDateTime]])), TEXT(NPS_Data[[#This Row],[CreatedDateTime]],"YYYY-MM"), "")</f>
        <v>2025-08</v>
      </c>
      <c r="AD31" s="14" t="str">
        <f>IF(NOT(ISNUMBER(NPS_Data[[#This Row],[ResolutionHours]])),"Open", IF(NPS_Data[[#This Row],[ResolutionHours]]&gt;72,"Breach","OK"))</f>
        <v>OK</v>
      </c>
      <c r="AE31" s="14">
        <f>IF(AND(ISNUMBER(NPS_Data[[#This Row],[CreatedDateTime]]), ISNUMBER(NPS_Data[[#This Row],[ResolvedDateTime]])), 1, 0)</f>
        <v>0</v>
      </c>
      <c r="AF31" s="48" t="str">
        <f>IF(NOT(ISNA(NPS_Data[[#This Row],[CreatedDateTime]])), TEXT(NPS_Data[[#This Row],[CreatedDateTime]],"dddd"), "")</f>
        <v>Sunday</v>
      </c>
    </row>
    <row r="32" spans="1:32" x14ac:dyDescent="0.25">
      <c r="A32" s="2" t="s">
        <v>243</v>
      </c>
      <c r="B32" s="2" t="s">
        <v>191</v>
      </c>
      <c r="C32" s="2" t="s">
        <v>244</v>
      </c>
      <c r="D3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45900.437754629631</v>
      </c>
      <c r="E32" s="2" t="s">
        <v>104</v>
      </c>
      <c r="F32" s="2" t="s">
        <v>209</v>
      </c>
      <c r="G32" s="2" t="s">
        <v>245</v>
      </c>
      <c r="H32"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45908.549733796295</v>
      </c>
      <c r="I32" s="2" t="s">
        <v>23</v>
      </c>
      <c r="J32" s="2" t="s">
        <v>23</v>
      </c>
      <c r="K32" s="2" t="s">
        <v>88</v>
      </c>
      <c r="L32" s="2" t="s">
        <v>246</v>
      </c>
      <c r="M32" s="2" t="s">
        <v>247</v>
      </c>
      <c r="N32" s="2" t="s">
        <v>248</v>
      </c>
      <c r="O32" s="2" t="s">
        <v>41</v>
      </c>
      <c r="P32" s="2" t="s">
        <v>148</v>
      </c>
      <c r="Q32" s="3">
        <v>8</v>
      </c>
      <c r="R32" s="2" t="s">
        <v>30</v>
      </c>
      <c r="S32" s="2" t="s">
        <v>31</v>
      </c>
      <c r="T32" s="2" t="str">
        <f>IF(OR(NPS_Data[[#This Row],[CreatedDateTime]]="",NPS_Data[[#This Row],[Assigned To]]="",NPS_Data[[#This Row],[Issue 2 - NPS]]="",NPS_Data[[#This Row],[Program Name]]=""),"Missing","OK")</f>
        <v>OK</v>
      </c>
      <c r="U32" s="2" t="str">
        <f>IF(
  AND(NPS_Data[[#This Row],[Status]]="Complete", OR(ISNA(NPS_Data[[#This Row],[ResolvedDateTime]]), ISBLANK(NPS_Data[[#This Row],[ResolvedDateTime]]))),
  "CompleteNoResolved",
  IF(
    AND(NPS_Data[[#This Row],[Status]]="Pending", NPS_Data[[#This Row],[Sub Status]]="Solved"),
    "PendingButSolved",
    "OK"
  )
)</f>
        <v>OK</v>
      </c>
      <c r="V3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32" s="2" t="str">
        <f>IFERROR(TRIM(CLEAN(NPS_Data[[#This Row],[Ticket All Remarks]])),"")</f>
        <v>Mike Wilson uses outdated examples in Machine Learning classes. Still teaching scikit-learn 0.22 syntax when industry uses 1.3+. Students struggle with modern ML libraries. || Resolution: Updated all code examples to latest library versions</v>
      </c>
      <c r="X32" s="2" cm="1">
        <f t="array" aca="1" ref="X32" ca="1">IF(NPS_Data[[#This Row],[CleanRemark]]="","",
   SUMPRODUCT(CODE(MID(NPS_Data[[#This Row],[CleanRemark]],ROW(INDIRECT("1:"&amp;LEN(NPS_Data[[#This Row],[CleanRemark]]))),1))))</f>
        <v>22422</v>
      </c>
      <c r="Y32" s="2" t="str">
        <f>IF(COUNTIF(NPS_Data[Ticket No],NPS_Data[[#This Row],[Ticket No]])&gt;1,"Duplicate","OK")</f>
        <v>OK</v>
      </c>
      <c r="Z32" s="2" t="str">
        <f ca="1">IF(NPS_Data[[#This Row],[RemarkHash]]="","OK",
   IF(COUNTIF(NPS_Data[RemarkHash],NPS_Data[[#This Row],[RemarkHash]])&gt;1,"RepeatedRemark","OK"))</f>
        <v>RepeatedRemark</v>
      </c>
      <c r="AA32" s="17">
        <f>IF( AND( ISNUMBER(NPS_Data[[#This Row],[CreatedDateTime]]), ISNUMBER(NPS_Data[[#This Row],[ResolvedDateTime]]) ), (NPS_Data[[#This Row],[ResolvedDateTime]] - NPS_Data[[#This Row],[CreatedDateTime]]) * 24, 0 )</f>
        <v>194.68749999994179</v>
      </c>
      <c r="AB32" s="65" t="str">
        <f>IF(NOT(ISNA(NPS_Data[[#This Row],[CreatedDateTime]])),
   YEAR(NPS_Data[[#This Row],[CreatedDateTime]]) &amp; "-" &amp; TEXT(WEEKNUM(NPS_Data[[#This Row],[CreatedDateTime]],2),"00"),
   "")</f>
        <v>2025-35</v>
      </c>
      <c r="AC32" s="14" t="str">
        <f>IF(NOT(ISNA(NPS_Data[[#This Row],[CreatedDateTime]])), TEXT(NPS_Data[[#This Row],[CreatedDateTime]],"YYYY-MM"), "")</f>
        <v>2025-08</v>
      </c>
      <c r="AD32" s="14" t="str">
        <f>IF(NOT(ISNUMBER(NPS_Data[[#This Row],[ResolutionHours]])),"Open", IF(NPS_Data[[#This Row],[ResolutionHours]]&gt;72,"Breach","OK"))</f>
        <v>Breach</v>
      </c>
      <c r="AE32" s="14">
        <f>IF(AND(ISNUMBER(NPS_Data[[#This Row],[CreatedDateTime]]), ISNUMBER(NPS_Data[[#This Row],[ResolvedDateTime]])), 1, 0)</f>
        <v>1</v>
      </c>
      <c r="AF32" s="48" t="str">
        <f>IF(NOT(ISNA(NPS_Data[[#This Row],[CreatedDateTime]])), TEXT(NPS_Data[[#This Row],[CreatedDateTime]],"dddd"), "")</f>
        <v>Sunday</v>
      </c>
    </row>
    <row r="33" spans="1:32" x14ac:dyDescent="0.25">
      <c r="A33" s="2" t="s">
        <v>249</v>
      </c>
      <c r="B33" s="2" t="s">
        <v>197</v>
      </c>
      <c r="C33" s="2" t="s">
        <v>250</v>
      </c>
      <c r="D3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45914.43074074074</v>
      </c>
      <c r="E33" s="2" t="s">
        <v>167</v>
      </c>
      <c r="H33"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33" s="2" t="s">
        <v>23</v>
      </c>
      <c r="J33" s="2" t="s">
        <v>23</v>
      </c>
      <c r="K33" s="2" t="s">
        <v>88</v>
      </c>
      <c r="L33" s="2" t="s">
        <v>251</v>
      </c>
      <c r="M33" s="2" t="s">
        <v>252</v>
      </c>
      <c r="N33" s="2" t="s">
        <v>253</v>
      </c>
      <c r="O33" s="2" t="s">
        <v>28</v>
      </c>
      <c r="P33" s="2" t="s">
        <v>92</v>
      </c>
      <c r="Q33" s="3">
        <v>7</v>
      </c>
      <c r="R33" s="2" t="s">
        <v>30</v>
      </c>
      <c r="S33" s="2" t="s">
        <v>31</v>
      </c>
      <c r="T33" s="2" t="str">
        <f>IF(OR(NPS_Data[[#This Row],[CreatedDateTime]]="",NPS_Data[[#This Row],[Assigned To]]="",NPS_Data[[#This Row],[Issue 2 - NPS]]="",NPS_Data[[#This Row],[Program Name]]=""),"Missing","OK")</f>
        <v>OK</v>
      </c>
      <c r="U33" s="2" t="str">
        <f>IF(
  AND(NPS_Data[[#This Row],[Status]]="Complete", OR(ISNA(NPS_Data[[#This Row],[ResolvedDateTime]]), ISBLANK(NPS_Data[[#This Row],[ResolvedDateTime]]))),
  "CompleteNoResolved",
  IF(
    AND(NPS_Data[[#This Row],[Status]]="Pending", NPS_Data[[#This Row],[Sub Status]]="Solved"),
    "PendingButSolved",
    "OK"
  )
)</f>
        <v>OK</v>
      </c>
      <c r="V3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33" s="2" t="str">
        <f>IFERROR(TRIM(CLEAN(NPS_Data[[#This Row],[Ticket All Remarks]])),"")</f>
        <v>Want to transition from service-based to product companies but don't understand cultural and technical differences. Need guidance on preparation strategy. || Resolution: Connected with mentor who made similar transition and provided Amazon-specific prep</v>
      </c>
      <c r="X33" s="2" cm="1">
        <f t="array" aca="1" ref="X33" ca="1">IF(NPS_Data[[#This Row],[CleanRemark]]="","",
   SUMPRODUCT(CODE(MID(NPS_Data[[#This Row],[CleanRemark]],ROW(INDIRECT("1:"&amp;LEN(NPS_Data[[#This Row],[CleanRemark]]))),1))))</f>
        <v>24315</v>
      </c>
      <c r="Y33" s="2" t="str">
        <f>IF(COUNTIF(NPS_Data[Ticket No],NPS_Data[[#This Row],[Ticket No]])&gt;1,"Duplicate","OK")</f>
        <v>OK</v>
      </c>
      <c r="Z33" s="2" t="str">
        <f ca="1">IF(NPS_Data[[#This Row],[RemarkHash]]="","OK",
   IF(COUNTIF(NPS_Data[RemarkHash],NPS_Data[[#This Row],[RemarkHash]])&gt;1,"RepeatedRemark","OK"))</f>
        <v>OK</v>
      </c>
      <c r="AA33" s="17">
        <f>IF( AND( ISNUMBER(NPS_Data[[#This Row],[CreatedDateTime]]), ISNUMBER(NPS_Data[[#This Row],[ResolvedDateTime]]) ), (NPS_Data[[#This Row],[ResolvedDateTime]] - NPS_Data[[#This Row],[CreatedDateTime]]) * 24, 0 )</f>
        <v>0</v>
      </c>
      <c r="AB33" s="65" t="str">
        <f>IF(NOT(ISNA(NPS_Data[[#This Row],[CreatedDateTime]])),
   YEAR(NPS_Data[[#This Row],[CreatedDateTime]]) &amp; "-" &amp; TEXT(WEEKNUM(NPS_Data[[#This Row],[CreatedDateTime]],2),"00"),
   "")</f>
        <v>2025-37</v>
      </c>
      <c r="AC33" s="14" t="str">
        <f>IF(NOT(ISNA(NPS_Data[[#This Row],[CreatedDateTime]])), TEXT(NPS_Data[[#This Row],[CreatedDateTime]],"YYYY-MM"), "")</f>
        <v>2025-09</v>
      </c>
      <c r="AD33" s="14" t="str">
        <f>IF(NOT(ISNUMBER(NPS_Data[[#This Row],[ResolutionHours]])),"Open", IF(NPS_Data[[#This Row],[ResolutionHours]]&gt;72,"Breach","OK"))</f>
        <v>OK</v>
      </c>
      <c r="AE33" s="14">
        <f>IF(AND(ISNUMBER(NPS_Data[[#This Row],[CreatedDateTime]]), ISNUMBER(NPS_Data[[#This Row],[ResolvedDateTime]])), 1, 0)</f>
        <v>0</v>
      </c>
      <c r="AF33" s="48" t="str">
        <f>IF(NOT(ISNA(NPS_Data[[#This Row],[CreatedDateTime]])), TEXT(NPS_Data[[#This Row],[CreatedDateTime]],"dddd"), "")</f>
        <v>Sunday</v>
      </c>
    </row>
    <row r="34" spans="1:32" x14ac:dyDescent="0.25">
      <c r="A34" s="2" t="s">
        <v>254</v>
      </c>
      <c r="B34" s="2" t="s">
        <v>255</v>
      </c>
      <c r="C34" s="2" t="s">
        <v>256</v>
      </c>
      <c r="D3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45904.51221064815</v>
      </c>
      <c r="E34" s="2" t="s">
        <v>219</v>
      </c>
      <c r="F34" s="2" t="s">
        <v>257</v>
      </c>
      <c r="G34" s="2" t="s">
        <v>258</v>
      </c>
      <c r="H34"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45905.523182870369</v>
      </c>
      <c r="I34" s="2" t="s">
        <v>23</v>
      </c>
      <c r="J34" s="2" t="s">
        <v>23</v>
      </c>
      <c r="K34" s="2" t="s">
        <v>56</v>
      </c>
      <c r="L34" s="2" t="s">
        <v>259</v>
      </c>
      <c r="M34" s="2" t="s">
        <v>260</v>
      </c>
      <c r="N34" s="2" t="s">
        <v>67</v>
      </c>
      <c r="O34" s="2" t="s">
        <v>41</v>
      </c>
      <c r="P34" s="2" t="s">
        <v>68</v>
      </c>
      <c r="Q34" s="3">
        <v>8</v>
      </c>
      <c r="R34" s="2" t="s">
        <v>30</v>
      </c>
      <c r="S34" s="2" t="s">
        <v>31</v>
      </c>
      <c r="T34" s="2" t="str">
        <f>IF(OR(NPS_Data[[#This Row],[CreatedDateTime]]="",NPS_Data[[#This Row],[Assigned To]]="",NPS_Data[[#This Row],[Issue 2 - NPS]]="",NPS_Data[[#This Row],[Program Name]]=""),"Missing","OK")</f>
        <v>OK</v>
      </c>
      <c r="U34" s="2" t="str">
        <f>IF(
  AND(NPS_Data[[#This Row],[Status]]="Complete", OR(ISNA(NPS_Data[[#This Row],[ResolvedDateTime]]), ISBLANK(NPS_Data[[#This Row],[ResolvedDateTime]]))),
  "CompleteNoResolved",
  IF(
    AND(NPS_Data[[#This Row],[Status]]="Pending", NPS_Data[[#This Row],[Sub Status]]="Solved"),
    "PendingButSolved",
    "OK"
  )
)</f>
        <v>OK</v>
      </c>
      <c r="V3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34" s="2" t="str">
        <f>IFERROR(TRIM(CLEAN(NPS_Data[[#This Row],[Ticket All Remarks]])),"")</f>
        <v>Told course would take 6 months but curriculum actually requires 10+ months for completion. Time commitment significantly underestimated. || Resolution: Updated course duration estimates and provided realistic timeline planning</v>
      </c>
      <c r="X34" s="2" cm="1">
        <f t="array" aca="1" ref="X34" ca="1">IF(NPS_Data[[#This Row],[CleanRemark]]="","",
   SUMPRODUCT(CODE(MID(NPS_Data[[#This Row],[CleanRemark]],ROW(INDIRECT("1:"&amp;LEN(NPS_Data[[#This Row],[CleanRemark]]))),1))))</f>
        <v>21945</v>
      </c>
      <c r="Y34" s="2" t="str">
        <f>IF(COUNTIF(NPS_Data[Ticket No],NPS_Data[[#This Row],[Ticket No]])&gt;1,"Duplicate","OK")</f>
        <v>OK</v>
      </c>
      <c r="Z34" s="2" t="str">
        <f ca="1">IF(NPS_Data[[#This Row],[RemarkHash]]="","OK",
   IF(COUNTIF(NPS_Data[RemarkHash],NPS_Data[[#This Row],[RemarkHash]])&gt;1,"RepeatedRemark","OK"))</f>
        <v>RepeatedRemark</v>
      </c>
      <c r="AA34" s="17">
        <f>IF( AND( ISNUMBER(NPS_Data[[#This Row],[CreatedDateTime]]), ISNUMBER(NPS_Data[[#This Row],[ResolvedDateTime]]) ), (NPS_Data[[#This Row],[ResolvedDateTime]] - NPS_Data[[#This Row],[CreatedDateTime]]) * 24, 0 )</f>
        <v>24.263333333248738</v>
      </c>
      <c r="AB34" s="65" t="str">
        <f>IF(NOT(ISNA(NPS_Data[[#This Row],[CreatedDateTime]])),
   YEAR(NPS_Data[[#This Row],[CreatedDateTime]]) &amp; "-" &amp; TEXT(WEEKNUM(NPS_Data[[#This Row],[CreatedDateTime]],2),"00"),
   "")</f>
        <v>2025-36</v>
      </c>
      <c r="AC34" s="14" t="str">
        <f>IF(NOT(ISNA(NPS_Data[[#This Row],[CreatedDateTime]])), TEXT(NPS_Data[[#This Row],[CreatedDateTime]],"YYYY-MM"), "")</f>
        <v>2025-09</v>
      </c>
      <c r="AD34" s="14" t="str">
        <f>IF(NOT(ISNUMBER(NPS_Data[[#This Row],[ResolutionHours]])),"Open", IF(NPS_Data[[#This Row],[ResolutionHours]]&gt;72,"Breach","OK"))</f>
        <v>OK</v>
      </c>
      <c r="AE34" s="14">
        <f>IF(AND(ISNUMBER(NPS_Data[[#This Row],[CreatedDateTime]]), ISNUMBER(NPS_Data[[#This Row],[ResolvedDateTime]])), 1, 0)</f>
        <v>1</v>
      </c>
      <c r="AF34" s="48" t="str">
        <f>IF(NOT(ISNA(NPS_Data[[#This Row],[CreatedDateTime]])), TEXT(NPS_Data[[#This Row],[CreatedDateTime]],"dddd"), "")</f>
        <v>Thursday</v>
      </c>
    </row>
    <row r="35" spans="1:32" x14ac:dyDescent="0.25">
      <c r="A35" s="2" t="s">
        <v>261</v>
      </c>
      <c r="B35" s="2" t="s">
        <v>209</v>
      </c>
      <c r="C35" s="2" t="s">
        <v>262</v>
      </c>
      <c r="D3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45908.708738425928</v>
      </c>
      <c r="E35" s="2" t="s">
        <v>104</v>
      </c>
      <c r="H35"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35" s="2" t="s">
        <v>23</v>
      </c>
      <c r="J35" s="2" t="s">
        <v>23</v>
      </c>
      <c r="K35" s="2" t="s">
        <v>24</v>
      </c>
      <c r="L35" s="2" t="s">
        <v>263</v>
      </c>
      <c r="M35" s="2" t="s">
        <v>264</v>
      </c>
      <c r="N35" s="2" t="s">
        <v>265</v>
      </c>
      <c r="O35" s="2" t="s">
        <v>177</v>
      </c>
      <c r="P35" s="2" t="s">
        <v>125</v>
      </c>
      <c r="Q35" s="3">
        <v>7</v>
      </c>
      <c r="R35" s="2" t="s">
        <v>49</v>
      </c>
      <c r="S35" s="2" t="s">
        <v>50</v>
      </c>
      <c r="T35" s="2" t="str">
        <f>IF(OR(NPS_Data[[#This Row],[CreatedDateTime]]="",NPS_Data[[#This Row],[Assigned To]]="",NPS_Data[[#This Row],[Issue 2 - NPS]]="",NPS_Data[[#This Row],[Program Name]]=""),"Missing","OK")</f>
        <v>OK</v>
      </c>
      <c r="U35" s="2" t="str">
        <f>IF(
  AND(NPS_Data[[#This Row],[Status]]="Complete", OR(ISNA(NPS_Data[[#This Row],[ResolvedDateTime]]), ISBLANK(NPS_Data[[#This Row],[ResolvedDateTime]]))),
  "CompleteNoResolved",
  IF(
    AND(NPS_Data[[#This Row],[Status]]="Pending", NPS_Data[[#This Row],[Sub Status]]="Solved"),
    "PendingButSolved",
    "OK"
  )
)</f>
        <v>OK</v>
      </c>
      <c r="V3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35" s="2" t="str">
        <f>IFERROR(TRIM(CLEAN(NPS_Data[[#This Row],[Ticket All Remarks]])),"")</f>
        <v>No specialized TA support for advanced topics like deep learning, cloud architecture, or system design. Generic responses for complex domain questions. || Resolution: Hired subject matter expert TAs for specialized technical support</v>
      </c>
      <c r="X35" s="2" cm="1">
        <f t="array" aca="1" ref="X35" ca="1">IF(NPS_Data[[#This Row],[CleanRemark]]="","",
   SUMPRODUCT(CODE(MID(NPS_Data[[#This Row],[CleanRemark]],ROW(INDIRECT("1:"&amp;LEN(NPS_Data[[#This Row],[CleanRemark]]))),1))))</f>
        <v>22168</v>
      </c>
      <c r="Y35" s="2" t="str">
        <f>IF(COUNTIF(NPS_Data[Ticket No],NPS_Data[[#This Row],[Ticket No]])&gt;1,"Duplicate","OK")</f>
        <v>OK</v>
      </c>
      <c r="Z35" s="2" t="str">
        <f ca="1">IF(NPS_Data[[#This Row],[RemarkHash]]="","OK",
   IF(COUNTIF(NPS_Data[RemarkHash],NPS_Data[[#This Row],[RemarkHash]])&gt;1,"RepeatedRemark","OK"))</f>
        <v>OK</v>
      </c>
      <c r="AA35" s="17">
        <f>IF( AND( ISNUMBER(NPS_Data[[#This Row],[CreatedDateTime]]), ISNUMBER(NPS_Data[[#This Row],[ResolvedDateTime]]) ), (NPS_Data[[#This Row],[ResolvedDateTime]] - NPS_Data[[#This Row],[CreatedDateTime]]) * 24, 0 )</f>
        <v>0</v>
      </c>
      <c r="AB35" s="65" t="str">
        <f>IF(NOT(ISNA(NPS_Data[[#This Row],[CreatedDateTime]])),
   YEAR(NPS_Data[[#This Row],[CreatedDateTime]]) &amp; "-" &amp; TEXT(WEEKNUM(NPS_Data[[#This Row],[CreatedDateTime]],2),"00"),
   "")</f>
        <v>2025-37</v>
      </c>
      <c r="AC35" s="14" t="str">
        <f>IF(NOT(ISNA(NPS_Data[[#This Row],[CreatedDateTime]])), TEXT(NPS_Data[[#This Row],[CreatedDateTime]],"YYYY-MM"), "")</f>
        <v>2025-09</v>
      </c>
      <c r="AD35" s="14" t="str">
        <f>IF(NOT(ISNUMBER(NPS_Data[[#This Row],[ResolutionHours]])),"Open", IF(NPS_Data[[#This Row],[ResolutionHours]]&gt;72,"Breach","OK"))</f>
        <v>OK</v>
      </c>
      <c r="AE35" s="14">
        <f>IF(AND(ISNUMBER(NPS_Data[[#This Row],[CreatedDateTime]]), ISNUMBER(NPS_Data[[#This Row],[ResolvedDateTime]])), 1, 0)</f>
        <v>0</v>
      </c>
      <c r="AF35" s="48" t="str">
        <f>IF(NOT(ISNA(NPS_Data[[#This Row],[CreatedDateTime]])), TEXT(NPS_Data[[#This Row],[CreatedDateTime]],"dddd"), "")</f>
        <v>Monday</v>
      </c>
    </row>
    <row r="36" spans="1:32" x14ac:dyDescent="0.25">
      <c r="A36" s="2" t="s">
        <v>266</v>
      </c>
      <c r="B36" s="2" t="s">
        <v>267</v>
      </c>
      <c r="C36" s="2" t="s">
        <v>268</v>
      </c>
      <c r="D3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45879.677418981482</v>
      </c>
      <c r="E36" s="2" t="s">
        <v>80</v>
      </c>
      <c r="F36" s="2" t="s">
        <v>172</v>
      </c>
      <c r="G36" s="2" t="s">
        <v>269</v>
      </c>
      <c r="H36"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45891.564409722225</v>
      </c>
      <c r="I36" s="2" t="s">
        <v>23</v>
      </c>
      <c r="J36" s="2" t="s">
        <v>23</v>
      </c>
      <c r="K36" s="2" t="s">
        <v>56</v>
      </c>
      <c r="L36" s="2" t="s">
        <v>270</v>
      </c>
      <c r="M36" s="2" t="s">
        <v>271</v>
      </c>
      <c r="N36" s="2" t="s">
        <v>272</v>
      </c>
      <c r="O36" s="2" t="s">
        <v>48</v>
      </c>
      <c r="P36" s="2" t="s">
        <v>216</v>
      </c>
      <c r="Q36" s="3">
        <v>4</v>
      </c>
      <c r="R36" s="2" t="s">
        <v>30</v>
      </c>
      <c r="S36" s="2" t="s">
        <v>31</v>
      </c>
      <c r="T36" s="2" t="str">
        <f>IF(OR(NPS_Data[[#This Row],[CreatedDateTime]]="",NPS_Data[[#This Row],[Assigned To]]="",NPS_Data[[#This Row],[Issue 2 - NPS]]="",NPS_Data[[#This Row],[Program Name]]=""),"Missing","OK")</f>
        <v>OK</v>
      </c>
      <c r="U36" s="2" t="str">
        <f>IF(
  AND(NPS_Data[[#This Row],[Status]]="Complete", OR(ISNA(NPS_Data[[#This Row],[ResolvedDateTime]]), ISBLANK(NPS_Data[[#This Row],[ResolvedDateTime]]))),
  "CompleteNoResolved",
  IF(
    AND(NPS_Data[[#This Row],[Status]]="Pending", NPS_Data[[#This Row],[Sub Status]]="Solved"),
    "PendingButSolved",
    "OK"
  )
)</f>
        <v>OK</v>
      </c>
      <c r="V3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36" s="2" t="str">
        <f>IFERROR(TRIM(CLEAN(NPS_Data[[#This Row],[Ticket All Remarks]])),"")</f>
        <v>Mentor Amit Patel provides only generic advice like 'practice more coding'. Asked specific questions about Google interview process but got template responses. || Resolution: Connected with mentor who recently joined FAANG TCS</v>
      </c>
      <c r="X36" s="2" cm="1">
        <f t="array" aca="1" ref="X36" ca="1">IF(NPS_Data[[#This Row],[CleanRemark]]="","",
   SUMPRODUCT(CODE(MID(NPS_Data[[#This Row],[CleanRemark]],ROW(INDIRECT("1:"&amp;LEN(NPS_Data[[#This Row],[CleanRemark]]))),1))))</f>
        <v>21260</v>
      </c>
      <c r="Y36" s="2" t="str">
        <f>IF(COUNTIF(NPS_Data[Ticket No],NPS_Data[[#This Row],[Ticket No]])&gt;1,"Duplicate","OK")</f>
        <v>OK</v>
      </c>
      <c r="Z36" s="2" t="str">
        <f ca="1">IF(NPS_Data[[#This Row],[RemarkHash]]="","OK",
   IF(COUNTIF(NPS_Data[RemarkHash],NPS_Data[[#This Row],[RemarkHash]])&gt;1,"RepeatedRemark","OK"))</f>
        <v>OK</v>
      </c>
      <c r="AA36" s="17">
        <f>IF( AND( ISNUMBER(NPS_Data[[#This Row],[CreatedDateTime]]), ISNUMBER(NPS_Data[[#This Row],[ResolvedDateTime]]) ), (NPS_Data[[#This Row],[ResolvedDateTime]] - NPS_Data[[#This Row],[CreatedDateTime]]) * 24, 0 )</f>
        <v>285.28777777781943</v>
      </c>
      <c r="AB36" s="65" t="str">
        <f>IF(NOT(ISNA(NPS_Data[[#This Row],[CreatedDateTime]])),
   YEAR(NPS_Data[[#This Row],[CreatedDateTime]]) &amp; "-" &amp; TEXT(WEEKNUM(NPS_Data[[#This Row],[CreatedDateTime]],2),"00"),
   "")</f>
        <v>2025-32</v>
      </c>
      <c r="AC36" s="14" t="str">
        <f>IF(NOT(ISNA(NPS_Data[[#This Row],[CreatedDateTime]])), TEXT(NPS_Data[[#This Row],[CreatedDateTime]],"YYYY-MM"), "")</f>
        <v>2025-08</v>
      </c>
      <c r="AD36" s="14" t="str">
        <f>IF(NOT(ISNUMBER(NPS_Data[[#This Row],[ResolutionHours]])),"Open", IF(NPS_Data[[#This Row],[ResolutionHours]]&gt;72,"Breach","OK"))</f>
        <v>Breach</v>
      </c>
      <c r="AE36" s="14">
        <f>IF(AND(ISNUMBER(NPS_Data[[#This Row],[CreatedDateTime]]), ISNUMBER(NPS_Data[[#This Row],[ResolvedDateTime]])), 1, 0)</f>
        <v>1</v>
      </c>
      <c r="AF36" s="48" t="str">
        <f>IF(NOT(ISNA(NPS_Data[[#This Row],[CreatedDateTime]])), TEXT(NPS_Data[[#This Row],[CreatedDateTime]],"dddd"), "")</f>
        <v>Sunday</v>
      </c>
    </row>
    <row r="37" spans="1:32" x14ac:dyDescent="0.25">
      <c r="A37" s="2" t="s">
        <v>273</v>
      </c>
      <c r="B37" s="2" t="s">
        <v>127</v>
      </c>
      <c r="C37" s="2" t="s">
        <v>274</v>
      </c>
      <c r="D3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45878.577777777777</v>
      </c>
      <c r="E37" s="2" t="s">
        <v>44</v>
      </c>
      <c r="H37"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37" s="2" t="s">
        <v>23</v>
      </c>
      <c r="J37" s="2" t="s">
        <v>23</v>
      </c>
      <c r="K37" s="2" t="s">
        <v>24</v>
      </c>
      <c r="L37" s="2" t="s">
        <v>275</v>
      </c>
      <c r="M37" s="2" t="s">
        <v>276</v>
      </c>
      <c r="N37" s="2" t="s">
        <v>277</v>
      </c>
      <c r="O37" s="2" t="s">
        <v>41</v>
      </c>
      <c r="P37" s="2" t="s">
        <v>29</v>
      </c>
      <c r="Q37" s="3">
        <v>3</v>
      </c>
      <c r="R37" s="2" t="s">
        <v>49</v>
      </c>
      <c r="S37" s="2" t="s">
        <v>116</v>
      </c>
      <c r="T37" s="2" t="str">
        <f>IF(OR(NPS_Data[[#This Row],[CreatedDateTime]]="",NPS_Data[[#This Row],[Assigned To]]="",NPS_Data[[#This Row],[Issue 2 - NPS]]="",NPS_Data[[#This Row],[Program Name]]=""),"Missing","OK")</f>
        <v>OK</v>
      </c>
      <c r="U37" s="2" t="str">
        <f>IF(
  AND(NPS_Data[[#This Row],[Status]]="Complete", OR(ISNA(NPS_Data[[#This Row],[ResolvedDateTime]]), ISBLANK(NPS_Data[[#This Row],[ResolvedDateTime]]))),
  "CompleteNoResolved",
  IF(
    AND(NPS_Data[[#This Row],[Status]]="Pending", NPS_Data[[#This Row],[Sub Status]]="Solved"),
    "PendingButSolved",
    "OK"
  )
)</f>
        <v>OK</v>
      </c>
      <c r="V3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37" s="2" t="str">
        <f>IFERROR(TRIM(CLEAN(NPS_Data[[#This Row],[Ticket All Remarks]])),"")</f>
        <v>Python assignment auto-grading system has bugs. Correct solutions marked wrong due to output formatting differences. Frustrating when code logic is perfect. || Resolution: Fixed grading system and manually reviewed affected submissions</v>
      </c>
      <c r="X37" s="2" cm="1">
        <f t="array" aca="1" ref="X37" ca="1">IF(NPS_Data[[#This Row],[CleanRemark]]="","",
   SUMPRODUCT(CODE(MID(NPS_Data[[#This Row],[CleanRemark]],ROW(INDIRECT("1:"&amp;LEN(NPS_Data[[#This Row],[CleanRemark]]))),1))))</f>
        <v>22713</v>
      </c>
      <c r="Y37" s="2" t="str">
        <f>IF(COUNTIF(NPS_Data[Ticket No],NPS_Data[[#This Row],[Ticket No]])&gt;1,"Duplicate","OK")</f>
        <v>OK</v>
      </c>
      <c r="Z37" s="2" t="str">
        <f ca="1">IF(NPS_Data[[#This Row],[RemarkHash]]="","OK",
   IF(COUNTIF(NPS_Data[RemarkHash],NPS_Data[[#This Row],[RemarkHash]])&gt;1,"RepeatedRemark","OK"))</f>
        <v>RepeatedRemark</v>
      </c>
      <c r="AA37" s="17">
        <f>IF( AND( ISNUMBER(NPS_Data[[#This Row],[CreatedDateTime]]), ISNUMBER(NPS_Data[[#This Row],[ResolvedDateTime]]) ), (NPS_Data[[#This Row],[ResolvedDateTime]] - NPS_Data[[#This Row],[CreatedDateTime]]) * 24, 0 )</f>
        <v>0</v>
      </c>
      <c r="AB37" s="65" t="str">
        <f>IF(NOT(ISNA(NPS_Data[[#This Row],[CreatedDateTime]])),
   YEAR(NPS_Data[[#This Row],[CreatedDateTime]]) &amp; "-" &amp; TEXT(WEEKNUM(NPS_Data[[#This Row],[CreatedDateTime]],2),"00"),
   "")</f>
        <v>2025-32</v>
      </c>
      <c r="AC37" s="14" t="str">
        <f>IF(NOT(ISNA(NPS_Data[[#This Row],[CreatedDateTime]])), TEXT(NPS_Data[[#This Row],[CreatedDateTime]],"YYYY-MM"), "")</f>
        <v>2025-08</v>
      </c>
      <c r="AD37" s="14" t="str">
        <f>IF(NOT(ISNUMBER(NPS_Data[[#This Row],[ResolutionHours]])),"Open", IF(NPS_Data[[#This Row],[ResolutionHours]]&gt;72,"Breach","OK"))</f>
        <v>OK</v>
      </c>
      <c r="AE37" s="14">
        <f>IF(AND(ISNUMBER(NPS_Data[[#This Row],[CreatedDateTime]]), ISNUMBER(NPS_Data[[#This Row],[ResolvedDateTime]])), 1, 0)</f>
        <v>0</v>
      </c>
      <c r="AF37" s="48" t="str">
        <f>IF(NOT(ISNA(NPS_Data[[#This Row],[CreatedDateTime]])), TEXT(NPS_Data[[#This Row],[CreatedDateTime]],"dddd"), "")</f>
        <v>Saturday</v>
      </c>
    </row>
    <row r="38" spans="1:32" x14ac:dyDescent="0.25">
      <c r="A38" s="2" t="s">
        <v>278</v>
      </c>
      <c r="B38" s="2" t="s">
        <v>191</v>
      </c>
      <c r="C38" s="2" t="s">
        <v>279</v>
      </c>
      <c r="D3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45900.844166666669</v>
      </c>
      <c r="E38" s="2" t="s">
        <v>104</v>
      </c>
      <c r="F38" s="2" t="s">
        <v>280</v>
      </c>
      <c r="G38" s="2" t="s">
        <v>281</v>
      </c>
      <c r="H38"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45909.725335648145</v>
      </c>
      <c r="I38" s="2" t="s">
        <v>23</v>
      </c>
      <c r="J38" s="2" t="s">
        <v>23</v>
      </c>
      <c r="K38" s="2" t="s">
        <v>38</v>
      </c>
      <c r="L38" s="2" t="s">
        <v>282</v>
      </c>
      <c r="M38" s="2" t="s">
        <v>283</v>
      </c>
      <c r="N38" s="2" t="s">
        <v>284</v>
      </c>
      <c r="O38" s="2" t="s">
        <v>48</v>
      </c>
      <c r="P38" s="2" t="s">
        <v>285</v>
      </c>
      <c r="Q38" s="3">
        <v>5</v>
      </c>
      <c r="R38" s="2" t="s">
        <v>30</v>
      </c>
      <c r="S38" s="2" t="s">
        <v>31</v>
      </c>
      <c r="T38" s="2" t="str">
        <f>IF(OR(NPS_Data[[#This Row],[CreatedDateTime]]="",NPS_Data[[#This Row],[Assigned To]]="",NPS_Data[[#This Row],[Issue 2 - NPS]]="",NPS_Data[[#This Row],[Program Name]]=""),"Missing","OK")</f>
        <v>OK</v>
      </c>
      <c r="U38" s="2" t="str">
        <f>IF(
  AND(NPS_Data[[#This Row],[Status]]="Complete", OR(ISNA(NPS_Data[[#This Row],[ResolvedDateTime]]), ISBLANK(NPS_Data[[#This Row],[ResolvedDateTime]]))),
  "CompleteNoResolved",
  IF(
    AND(NPS_Data[[#This Row],[Status]]="Pending", NPS_Data[[#This Row],[Sub Status]]="Solved"),
    "PendingButSolved",
    "OK"
  )
)</f>
        <v>OK</v>
      </c>
      <c r="V3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38" s="2" t="str">
        <f>IFERROR(TRIM(CLEAN(NPS_Data[[#This Row],[Ticket All Remarks]])),"")</f>
        <v>Lecture slides contain only bullet points without detailed explanations. Need comprehensive notes for exam preparation and interview revision. || Resolution: Enhanced slides with detailed explanations and examples</v>
      </c>
      <c r="X38" s="2" cm="1">
        <f t="array" aca="1" ref="X38" ca="1">IF(NPS_Data[[#This Row],[CleanRemark]]="","",
   SUMPRODUCT(CODE(MID(NPS_Data[[#This Row],[CleanRemark]],ROW(INDIRECT("1:"&amp;LEN(NPS_Data[[#This Row],[CleanRemark]]))),1))))</f>
        <v>20736</v>
      </c>
      <c r="Y38" s="2" t="str">
        <f>IF(COUNTIF(NPS_Data[Ticket No],NPS_Data[[#This Row],[Ticket No]])&gt;1,"Duplicate","OK")</f>
        <v>OK</v>
      </c>
      <c r="Z38" s="2" t="str">
        <f ca="1">IF(NPS_Data[[#This Row],[RemarkHash]]="","OK",
   IF(COUNTIF(NPS_Data[RemarkHash],NPS_Data[[#This Row],[RemarkHash]])&gt;1,"RepeatedRemark","OK"))</f>
        <v>RepeatedRemark</v>
      </c>
      <c r="AA38" s="17">
        <f>IF( AND( ISNUMBER(NPS_Data[[#This Row],[CreatedDateTime]]), ISNUMBER(NPS_Data[[#This Row],[ResolvedDateTime]]) ), (NPS_Data[[#This Row],[ResolvedDateTime]] - NPS_Data[[#This Row],[CreatedDateTime]]) * 24, 0 )</f>
        <v>213.14805555541534</v>
      </c>
      <c r="AB38" s="65" t="str">
        <f>IF(NOT(ISNA(NPS_Data[[#This Row],[CreatedDateTime]])),
   YEAR(NPS_Data[[#This Row],[CreatedDateTime]]) &amp; "-" &amp; TEXT(WEEKNUM(NPS_Data[[#This Row],[CreatedDateTime]],2),"00"),
   "")</f>
        <v>2025-35</v>
      </c>
      <c r="AC38" s="14" t="str">
        <f>IF(NOT(ISNA(NPS_Data[[#This Row],[CreatedDateTime]])), TEXT(NPS_Data[[#This Row],[CreatedDateTime]],"YYYY-MM"), "")</f>
        <v>2025-08</v>
      </c>
      <c r="AD38" s="14" t="str">
        <f>IF(NOT(ISNUMBER(NPS_Data[[#This Row],[ResolutionHours]])),"Open", IF(NPS_Data[[#This Row],[ResolutionHours]]&gt;72,"Breach","OK"))</f>
        <v>Breach</v>
      </c>
      <c r="AE38" s="14">
        <f>IF(AND(ISNUMBER(NPS_Data[[#This Row],[CreatedDateTime]]), ISNUMBER(NPS_Data[[#This Row],[ResolvedDateTime]])), 1, 0)</f>
        <v>1</v>
      </c>
      <c r="AF38" s="48" t="str">
        <f>IF(NOT(ISNA(NPS_Data[[#This Row],[CreatedDateTime]])), TEXT(NPS_Data[[#This Row],[CreatedDateTime]],"dddd"), "")</f>
        <v>Sunday</v>
      </c>
    </row>
    <row r="39" spans="1:32" x14ac:dyDescent="0.25">
      <c r="A39" s="2" t="s">
        <v>286</v>
      </c>
      <c r="B39" s="2" t="s">
        <v>191</v>
      </c>
      <c r="C39" s="2" t="s">
        <v>287</v>
      </c>
      <c r="D3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45900.380925925929</v>
      </c>
      <c r="E39" s="2" t="s">
        <v>113</v>
      </c>
      <c r="F39" s="2" t="s">
        <v>288</v>
      </c>
      <c r="G39" s="2" t="s">
        <v>289</v>
      </c>
      <c r="H39"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45907.654745370368</v>
      </c>
      <c r="I39" s="2" t="s">
        <v>23</v>
      </c>
      <c r="J39" s="2" t="s">
        <v>23</v>
      </c>
      <c r="K39" s="2" t="s">
        <v>38</v>
      </c>
      <c r="L39" s="2" t="s">
        <v>290</v>
      </c>
      <c r="M39" s="2" t="s">
        <v>291</v>
      </c>
      <c r="N39" s="2" t="s">
        <v>284</v>
      </c>
      <c r="O39" s="2" t="s">
        <v>177</v>
      </c>
      <c r="P39" s="2" t="s">
        <v>285</v>
      </c>
      <c r="Q39" s="3">
        <v>7</v>
      </c>
      <c r="R39" s="2" t="s">
        <v>30</v>
      </c>
      <c r="S39" s="2" t="s">
        <v>31</v>
      </c>
      <c r="T39" s="2" t="str">
        <f>IF(OR(NPS_Data[[#This Row],[CreatedDateTime]]="",NPS_Data[[#This Row],[Assigned To]]="",NPS_Data[[#This Row],[Issue 2 - NPS]]="",NPS_Data[[#This Row],[Program Name]]=""),"Missing","OK")</f>
        <v>OK</v>
      </c>
      <c r="U39" s="2" t="str">
        <f>IF(
  AND(NPS_Data[[#This Row],[Status]]="Complete", OR(ISNA(NPS_Data[[#This Row],[ResolvedDateTime]]), ISBLANK(NPS_Data[[#This Row],[ResolvedDateTime]]))),
  "CompleteNoResolved",
  IF(
    AND(NPS_Data[[#This Row],[Status]]="Pending", NPS_Data[[#This Row],[Sub Status]]="Solved"),
    "PendingButSolved",
    "OK"
  )
)</f>
        <v>OK</v>
      </c>
      <c r="V3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39" s="2" t="str">
        <f>IFERROR(TRIM(CLEAN(NPS_Data[[#This Row],[Ticket All Remarks]])),"")</f>
        <v>Lecture slides contain only bullet points without detailed explanations. Need comprehensive notes for exam preparation and interview revision. || Resolution: Enhanced slides with detailed explanations and examples</v>
      </c>
      <c r="X39" s="2" cm="1">
        <f t="array" aca="1" ref="X39" ca="1">IF(NPS_Data[[#This Row],[CleanRemark]]="","",
   SUMPRODUCT(CODE(MID(NPS_Data[[#This Row],[CleanRemark]],ROW(INDIRECT("1:"&amp;LEN(NPS_Data[[#This Row],[CleanRemark]]))),1))))</f>
        <v>20736</v>
      </c>
      <c r="Y39" s="2" t="str">
        <f>IF(COUNTIF(NPS_Data[Ticket No],NPS_Data[[#This Row],[Ticket No]])&gt;1,"Duplicate","OK")</f>
        <v>OK</v>
      </c>
      <c r="Z39" s="2" t="str">
        <f ca="1">IF(NPS_Data[[#This Row],[RemarkHash]]="","OK",
   IF(COUNTIF(NPS_Data[RemarkHash],NPS_Data[[#This Row],[RemarkHash]])&gt;1,"RepeatedRemark","OK"))</f>
        <v>RepeatedRemark</v>
      </c>
      <c r="AA39" s="17">
        <f>IF( AND( ISNUMBER(NPS_Data[[#This Row],[CreatedDateTime]]), ISNUMBER(NPS_Data[[#This Row],[ResolvedDateTime]]) ), (NPS_Data[[#This Row],[ResolvedDateTime]] - NPS_Data[[#This Row],[CreatedDateTime]]) * 24, 0 )</f>
        <v>174.57166666653939</v>
      </c>
      <c r="AB39" s="65" t="str">
        <f>IF(NOT(ISNA(NPS_Data[[#This Row],[CreatedDateTime]])),
   YEAR(NPS_Data[[#This Row],[CreatedDateTime]]) &amp; "-" &amp; TEXT(WEEKNUM(NPS_Data[[#This Row],[CreatedDateTime]],2),"00"),
   "")</f>
        <v>2025-35</v>
      </c>
      <c r="AC39" s="14" t="str">
        <f>IF(NOT(ISNA(NPS_Data[[#This Row],[CreatedDateTime]])), TEXT(NPS_Data[[#This Row],[CreatedDateTime]],"YYYY-MM"), "")</f>
        <v>2025-08</v>
      </c>
      <c r="AD39" s="14" t="str">
        <f>IF(NOT(ISNUMBER(NPS_Data[[#This Row],[ResolutionHours]])),"Open", IF(NPS_Data[[#This Row],[ResolutionHours]]&gt;72,"Breach","OK"))</f>
        <v>Breach</v>
      </c>
      <c r="AE39" s="14">
        <f>IF(AND(ISNUMBER(NPS_Data[[#This Row],[CreatedDateTime]]), ISNUMBER(NPS_Data[[#This Row],[ResolvedDateTime]])), 1, 0)</f>
        <v>1</v>
      </c>
      <c r="AF39" s="48" t="str">
        <f>IF(NOT(ISNA(NPS_Data[[#This Row],[CreatedDateTime]])), TEXT(NPS_Data[[#This Row],[CreatedDateTime]],"dddd"), "")</f>
        <v>Sunday</v>
      </c>
    </row>
    <row r="40" spans="1:32" x14ac:dyDescent="0.25">
      <c r="A40" s="2" t="s">
        <v>292</v>
      </c>
      <c r="B40" s="2" t="s">
        <v>21</v>
      </c>
      <c r="C40" s="2" t="s">
        <v>293</v>
      </c>
      <c r="D4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45899.701574074075</v>
      </c>
      <c r="E40" s="2" t="s">
        <v>167</v>
      </c>
      <c r="F40" s="2" t="s">
        <v>33</v>
      </c>
      <c r="G40" s="2" t="s">
        <v>294</v>
      </c>
      <c r="H40"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45902.663668981484</v>
      </c>
      <c r="I40" s="2" t="s">
        <v>23</v>
      </c>
      <c r="J40" s="2" t="s">
        <v>23</v>
      </c>
      <c r="K40" s="2" t="s">
        <v>38</v>
      </c>
      <c r="L40" s="2" t="s">
        <v>295</v>
      </c>
      <c r="M40" s="2" t="s">
        <v>296</v>
      </c>
      <c r="N40" s="2" t="s">
        <v>297</v>
      </c>
      <c r="O40" s="2" t="s">
        <v>177</v>
      </c>
      <c r="P40" s="2" t="s">
        <v>285</v>
      </c>
      <c r="Q40" s="3">
        <v>7</v>
      </c>
      <c r="R40" s="2" t="s">
        <v>30</v>
      </c>
      <c r="S40" s="2" t="s">
        <v>31</v>
      </c>
      <c r="T40" s="2" t="str">
        <f>IF(OR(NPS_Data[[#This Row],[CreatedDateTime]]="",NPS_Data[[#This Row],[Assigned To]]="",NPS_Data[[#This Row],[Issue 2 - NPS]]="",NPS_Data[[#This Row],[Program Name]]=""),"Missing","OK")</f>
        <v>OK</v>
      </c>
      <c r="U40" s="2" t="str">
        <f>IF(
  AND(NPS_Data[[#This Row],[Status]]="Complete", OR(ISNA(NPS_Data[[#This Row],[ResolvedDateTime]]), ISBLANK(NPS_Data[[#This Row],[ResolvedDateTime]]))),
  "CompleteNoResolved",
  IF(
    AND(NPS_Data[[#This Row],[Status]]="Pending", NPS_Data[[#This Row],[Sub Status]]="Solved"),
    "PendingButSolved",
    "OK"
  )
)</f>
        <v>OK</v>
      </c>
      <c r="V4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40" s="2" t="str">
        <f>IFERROR(TRIM(CLEAN(NPS_Data[[#This Row],[Ticket All Remarks]])),"")</f>
        <v>No downloadable notes provided for complex topics. Difficult to review mathematical formulas and algorithms without written reference material. || Resolution: Created comprehensive downloadable study guides for all modules</v>
      </c>
      <c r="X40" s="2" cm="1">
        <f t="array" aca="1" ref="X40" ca="1">IF(NPS_Data[[#This Row],[CleanRemark]]="","",
   SUMPRODUCT(CODE(MID(NPS_Data[[#This Row],[CleanRemark]],ROW(INDIRECT("1:"&amp;LEN(NPS_Data[[#This Row],[CleanRemark]]))),1))))</f>
        <v>21599</v>
      </c>
      <c r="Y40" s="2" t="str">
        <f>IF(COUNTIF(NPS_Data[Ticket No],NPS_Data[[#This Row],[Ticket No]])&gt;1,"Duplicate","OK")</f>
        <v>OK</v>
      </c>
      <c r="Z40" s="2" t="str">
        <f ca="1">IF(NPS_Data[[#This Row],[RemarkHash]]="","OK",
   IF(COUNTIF(NPS_Data[RemarkHash],NPS_Data[[#This Row],[RemarkHash]])&gt;1,"RepeatedRemark","OK"))</f>
        <v>RepeatedRemark</v>
      </c>
      <c r="AA40" s="17">
        <f>IF( AND( ISNUMBER(NPS_Data[[#This Row],[CreatedDateTime]]), ISNUMBER(NPS_Data[[#This Row],[ResolvedDateTime]]) ), (NPS_Data[[#This Row],[ResolvedDateTime]] - NPS_Data[[#This Row],[CreatedDateTime]]) * 24, 0 )</f>
        <v>71.090277777810115</v>
      </c>
      <c r="AB40" s="65" t="str">
        <f>IF(NOT(ISNA(NPS_Data[[#This Row],[CreatedDateTime]])),
   YEAR(NPS_Data[[#This Row],[CreatedDateTime]]) &amp; "-" &amp; TEXT(WEEKNUM(NPS_Data[[#This Row],[CreatedDateTime]],2),"00"),
   "")</f>
        <v>2025-35</v>
      </c>
      <c r="AC40" s="14" t="str">
        <f>IF(NOT(ISNA(NPS_Data[[#This Row],[CreatedDateTime]])), TEXT(NPS_Data[[#This Row],[CreatedDateTime]],"YYYY-MM"), "")</f>
        <v>2025-08</v>
      </c>
      <c r="AD40" s="14" t="str">
        <f>IF(NOT(ISNUMBER(NPS_Data[[#This Row],[ResolutionHours]])),"Open", IF(NPS_Data[[#This Row],[ResolutionHours]]&gt;72,"Breach","OK"))</f>
        <v>OK</v>
      </c>
      <c r="AE40" s="14">
        <f>IF(AND(ISNUMBER(NPS_Data[[#This Row],[CreatedDateTime]]), ISNUMBER(NPS_Data[[#This Row],[ResolvedDateTime]])), 1, 0)</f>
        <v>1</v>
      </c>
      <c r="AF40" s="48" t="str">
        <f>IF(NOT(ISNA(NPS_Data[[#This Row],[CreatedDateTime]])), TEXT(NPS_Data[[#This Row],[CreatedDateTime]],"dddd"), "")</f>
        <v>Saturday</v>
      </c>
    </row>
    <row r="41" spans="1:32" x14ac:dyDescent="0.25">
      <c r="A41" s="2" t="s">
        <v>298</v>
      </c>
      <c r="B41" s="2" t="s">
        <v>299</v>
      </c>
      <c r="C41" s="2" t="s">
        <v>300</v>
      </c>
      <c r="D4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45890.822199074071</v>
      </c>
      <c r="E41" s="2" t="s">
        <v>44</v>
      </c>
      <c r="F41" s="2" t="s">
        <v>301</v>
      </c>
      <c r="G41" s="2" t="s">
        <v>302</v>
      </c>
      <c r="H41"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45898.710173611114</v>
      </c>
      <c r="I41" s="2" t="s">
        <v>23</v>
      </c>
      <c r="J41" s="2" t="s">
        <v>23</v>
      </c>
      <c r="K41" s="2" t="s">
        <v>38</v>
      </c>
      <c r="L41" s="2" t="s">
        <v>303</v>
      </c>
      <c r="M41" s="2" t="s">
        <v>304</v>
      </c>
      <c r="N41" s="2" t="s">
        <v>305</v>
      </c>
      <c r="O41" s="2" t="s">
        <v>28</v>
      </c>
      <c r="P41" s="2" t="s">
        <v>158</v>
      </c>
      <c r="Q41" s="3">
        <v>3</v>
      </c>
      <c r="R41" s="2" t="s">
        <v>30</v>
      </c>
      <c r="S41" s="2" t="s">
        <v>31</v>
      </c>
      <c r="T41" s="2" t="str">
        <f>IF(OR(NPS_Data[[#This Row],[CreatedDateTime]]="",NPS_Data[[#This Row],[Assigned To]]="",NPS_Data[[#This Row],[Issue 2 - NPS]]="",NPS_Data[[#This Row],[Program Name]]=""),"Missing","OK")</f>
        <v>OK</v>
      </c>
      <c r="U41" s="2" t="str">
        <f>IF(
  AND(NPS_Data[[#This Row],[Status]]="Complete", OR(ISNA(NPS_Data[[#This Row],[ResolvedDateTime]]), ISBLANK(NPS_Data[[#This Row],[ResolvedDateTime]]))),
  "CompleteNoResolved",
  IF(
    AND(NPS_Data[[#This Row],[Status]]="Pending", NPS_Data[[#This Row],[Sub Status]]="Solved"),
    "PendingButSolved",
    "OK"
  )
)</f>
        <v>OK</v>
      </c>
      <c r="V4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41" s="2" t="str">
        <f>IFERROR(TRIM(CLEAN(NPS_Data[[#This Row],[Ticket All Remarks]])),"")</f>
        <v>Evening DSML Jul25 starts at 7 PM when dinner time with family. Work-life balance getting affected due to late learning schedule. || Resolution: Introduced early evening slots (6-8 PM) based on demand</v>
      </c>
      <c r="X41" s="2" cm="1">
        <f t="array" aca="1" ref="X41" ca="1">IF(NPS_Data[[#This Row],[CleanRemark]]="","",
   SUMPRODUCT(CODE(MID(NPS_Data[[#This Row],[CleanRemark]],ROW(INDIRECT("1:"&amp;LEN(NPS_Data[[#This Row],[CleanRemark]]))),1))))</f>
        <v>18036</v>
      </c>
      <c r="Y41" s="2" t="str">
        <f>IF(COUNTIF(NPS_Data[Ticket No],NPS_Data[[#This Row],[Ticket No]])&gt;1,"Duplicate","OK")</f>
        <v>OK</v>
      </c>
      <c r="Z41" s="2" t="str">
        <f ca="1">IF(NPS_Data[[#This Row],[RemarkHash]]="","OK",
   IF(COUNTIF(NPS_Data[RemarkHash],NPS_Data[[#This Row],[RemarkHash]])&gt;1,"RepeatedRemark","OK"))</f>
        <v>RepeatedRemark</v>
      </c>
      <c r="AA41" s="17">
        <f>IF( AND( ISNUMBER(NPS_Data[[#This Row],[CreatedDateTime]]), ISNUMBER(NPS_Data[[#This Row],[ResolvedDateTime]]) ), (NPS_Data[[#This Row],[ResolvedDateTime]] - NPS_Data[[#This Row],[CreatedDateTime]]) * 24, 0 )</f>
        <v>189.31138888903661</v>
      </c>
      <c r="AB41" s="65" t="str">
        <f>IF(NOT(ISNA(NPS_Data[[#This Row],[CreatedDateTime]])),
   YEAR(NPS_Data[[#This Row],[CreatedDateTime]]) &amp; "-" &amp; TEXT(WEEKNUM(NPS_Data[[#This Row],[CreatedDateTime]],2),"00"),
   "")</f>
        <v>2025-34</v>
      </c>
      <c r="AC41" s="14" t="str">
        <f>IF(NOT(ISNA(NPS_Data[[#This Row],[CreatedDateTime]])), TEXT(NPS_Data[[#This Row],[CreatedDateTime]],"YYYY-MM"), "")</f>
        <v>2025-08</v>
      </c>
      <c r="AD41" s="14" t="str">
        <f>IF(NOT(ISNUMBER(NPS_Data[[#This Row],[ResolutionHours]])),"Open", IF(NPS_Data[[#This Row],[ResolutionHours]]&gt;72,"Breach","OK"))</f>
        <v>Breach</v>
      </c>
      <c r="AE41" s="14">
        <f>IF(AND(ISNUMBER(NPS_Data[[#This Row],[CreatedDateTime]]), ISNUMBER(NPS_Data[[#This Row],[ResolvedDateTime]])), 1, 0)</f>
        <v>1</v>
      </c>
      <c r="AF41" s="48" t="str">
        <f>IF(NOT(ISNA(NPS_Data[[#This Row],[CreatedDateTime]])), TEXT(NPS_Data[[#This Row],[CreatedDateTime]],"dddd"), "")</f>
        <v>Thursday</v>
      </c>
    </row>
    <row r="42" spans="1:32" x14ac:dyDescent="0.25">
      <c r="A42" s="2" t="s">
        <v>306</v>
      </c>
      <c r="B42" s="2" t="s">
        <v>301</v>
      </c>
      <c r="C42" s="2" t="s">
        <v>307</v>
      </c>
      <c r="D4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45898.599618055552</v>
      </c>
      <c r="E42" s="2" t="s">
        <v>219</v>
      </c>
      <c r="F42" s="2" t="s">
        <v>78</v>
      </c>
      <c r="G42" s="2" t="s">
        <v>308</v>
      </c>
      <c r="H42"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45903.376620370371</v>
      </c>
      <c r="I42" s="2" t="s">
        <v>23</v>
      </c>
      <c r="J42" s="2" t="s">
        <v>23</v>
      </c>
      <c r="K42" s="2" t="s">
        <v>38</v>
      </c>
      <c r="L42" s="2" t="s">
        <v>309</v>
      </c>
      <c r="M42" s="2" t="s">
        <v>310</v>
      </c>
      <c r="N42" s="2" t="s">
        <v>311</v>
      </c>
      <c r="O42" s="2" t="s">
        <v>28</v>
      </c>
      <c r="P42" s="2" t="s">
        <v>158</v>
      </c>
      <c r="Q42" s="3">
        <v>5</v>
      </c>
      <c r="R42" s="2" t="s">
        <v>30</v>
      </c>
      <c r="S42" s="2" t="s">
        <v>31</v>
      </c>
      <c r="T42" s="2" t="str">
        <f>IF(OR(NPS_Data[[#This Row],[CreatedDateTime]]="",NPS_Data[[#This Row],[Assigned To]]="",NPS_Data[[#This Row],[Issue 2 - NPS]]="",NPS_Data[[#This Row],[Program Name]]=""),"Missing","OK")</f>
        <v>OK</v>
      </c>
      <c r="U42" s="2" t="str">
        <f>IF(
  AND(NPS_Data[[#This Row],[Status]]="Complete", OR(ISNA(NPS_Data[[#This Row],[ResolvedDateTime]]), ISBLANK(NPS_Data[[#This Row],[ResolvedDateTime]]))),
  "CompleteNoResolved",
  IF(
    AND(NPS_Data[[#This Row],[Status]]="Pending", NPS_Data[[#This Row],[Sub Status]]="Solved"),
    "PendingButSolved",
    "OK"
  )
)</f>
        <v>OK</v>
      </c>
      <c r="V4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42" s="2" t="str">
        <f>IFERROR(TRIM(CLEAN(NPS_Data[[#This Row],[Ticket All Remarks]])),"")</f>
        <v>Weekend Academy Jul25 Intermediate timing (10 AM - 2 PM) conflicts with family time. Children's activities and household responsibilities suffer due to class schedule. || Resolution: Created flexible weekend options with shorter session formats</v>
      </c>
      <c r="X42" s="2" cm="1">
        <f t="array" aca="1" ref="X42" ca="1">IF(NPS_Data[[#This Row],[CleanRemark]]="","",
   SUMPRODUCT(CODE(MID(NPS_Data[[#This Row],[CleanRemark]],ROW(INDIRECT("1:"&amp;LEN(NPS_Data[[#This Row],[CleanRemark]]))),1))))</f>
        <v>22718</v>
      </c>
      <c r="Y42" s="2" t="str">
        <f>IF(COUNTIF(NPS_Data[Ticket No],NPS_Data[[#This Row],[Ticket No]])&gt;1,"Duplicate","OK")</f>
        <v>OK</v>
      </c>
      <c r="Z42" s="2" t="str">
        <f ca="1">IF(NPS_Data[[#This Row],[RemarkHash]]="","OK",
   IF(COUNTIF(NPS_Data[RemarkHash],NPS_Data[[#This Row],[RemarkHash]])&gt;1,"RepeatedRemark","OK"))</f>
        <v>RepeatedRemark</v>
      </c>
      <c r="AA42" s="17">
        <f>IF( AND( ISNUMBER(NPS_Data[[#This Row],[CreatedDateTime]]), ISNUMBER(NPS_Data[[#This Row],[ResolvedDateTime]]) ), (NPS_Data[[#This Row],[ResolvedDateTime]] - NPS_Data[[#This Row],[CreatedDateTime]]) * 24, 0 )</f>
        <v>114.64805555564817</v>
      </c>
      <c r="AB42" s="65" t="str">
        <f>IF(NOT(ISNA(NPS_Data[[#This Row],[CreatedDateTime]])),
   YEAR(NPS_Data[[#This Row],[CreatedDateTime]]) &amp; "-" &amp; TEXT(WEEKNUM(NPS_Data[[#This Row],[CreatedDateTime]],2),"00"),
   "")</f>
        <v>2025-35</v>
      </c>
      <c r="AC42" s="14" t="str">
        <f>IF(NOT(ISNA(NPS_Data[[#This Row],[CreatedDateTime]])), TEXT(NPS_Data[[#This Row],[CreatedDateTime]],"YYYY-MM"), "")</f>
        <v>2025-08</v>
      </c>
      <c r="AD42" s="14" t="str">
        <f>IF(NOT(ISNUMBER(NPS_Data[[#This Row],[ResolutionHours]])),"Open", IF(NPS_Data[[#This Row],[ResolutionHours]]&gt;72,"Breach","OK"))</f>
        <v>Breach</v>
      </c>
      <c r="AE42" s="14">
        <f>IF(AND(ISNUMBER(NPS_Data[[#This Row],[CreatedDateTime]]), ISNUMBER(NPS_Data[[#This Row],[ResolvedDateTime]])), 1, 0)</f>
        <v>1</v>
      </c>
      <c r="AF42" s="48" t="str">
        <f>IF(NOT(ISNA(NPS_Data[[#This Row],[CreatedDateTime]])), TEXT(NPS_Data[[#This Row],[CreatedDateTime]],"dddd"), "")</f>
        <v>Friday</v>
      </c>
    </row>
    <row r="43" spans="1:32" x14ac:dyDescent="0.25">
      <c r="A43" s="2" t="s">
        <v>312</v>
      </c>
      <c r="B43" s="2" t="s">
        <v>313</v>
      </c>
      <c r="C43" s="2" t="s">
        <v>314</v>
      </c>
      <c r="D4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45880.756412037037</v>
      </c>
      <c r="E43" s="2" t="s">
        <v>87</v>
      </c>
      <c r="F43" s="2" t="s">
        <v>299</v>
      </c>
      <c r="G43" s="2" t="s">
        <v>315</v>
      </c>
      <c r="H43"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45890.652581018519</v>
      </c>
      <c r="I43" s="2" t="s">
        <v>23</v>
      </c>
      <c r="J43" s="2" t="s">
        <v>23</v>
      </c>
      <c r="K43" s="2" t="s">
        <v>88</v>
      </c>
      <c r="L43" s="2" t="s">
        <v>316</v>
      </c>
      <c r="M43" s="2" t="s">
        <v>317</v>
      </c>
      <c r="N43" s="2" t="s">
        <v>318</v>
      </c>
      <c r="O43" s="2" t="s">
        <v>177</v>
      </c>
      <c r="P43" s="2" t="s">
        <v>189</v>
      </c>
      <c r="Q43" s="3">
        <v>8</v>
      </c>
      <c r="R43" s="2" t="s">
        <v>30</v>
      </c>
      <c r="S43" s="2" t="s">
        <v>31</v>
      </c>
      <c r="T43" s="2" t="str">
        <f>IF(OR(NPS_Data[[#This Row],[CreatedDateTime]]="",NPS_Data[[#This Row],[Assigned To]]="",NPS_Data[[#This Row],[Issue 2 - NPS]]="",NPS_Data[[#This Row],[Program Name]]=""),"Missing","OK")</f>
        <v>OK</v>
      </c>
      <c r="U43" s="2" t="str">
        <f>IF(
  AND(NPS_Data[[#This Row],[Status]]="Complete", OR(ISNA(NPS_Data[[#This Row],[ResolvedDateTime]]), ISBLANK(NPS_Data[[#This Row],[ResolvedDateTime]]))),
  "CompleteNoResolved",
  IF(
    AND(NPS_Data[[#This Row],[Status]]="Pending", NPS_Data[[#This Row],[Sub Status]]="Solved"),
    "PendingButSolved",
    "OK"
  )
)</f>
        <v>OK</v>
      </c>
      <c r="V4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43" s="2" t="str">
        <f>IFERROR(TRIM(CLEAN(NPS_Data[[#This Row],[Ticket All Remarks]])),"")</f>
        <v>Contract/freelance offers available but seeking permanent positions with benefits and job security. Market seems tilted toward gig work. || Resolution: Targeted BYJU'S outreach focusing on full-time opportunity pipeline</v>
      </c>
      <c r="X43" s="2" cm="1">
        <f t="array" aca="1" ref="X43" ca="1">IF(NPS_Data[[#This Row],[CleanRemark]]="","",
   SUMPRODUCT(CODE(MID(NPS_Data[[#This Row],[CleanRemark]],ROW(INDIRECT("1:"&amp;LEN(NPS_Data[[#This Row],[CleanRemark]]))),1))))</f>
        <v>20989</v>
      </c>
      <c r="Y43" s="2" t="str">
        <f>IF(COUNTIF(NPS_Data[Ticket No],NPS_Data[[#This Row],[Ticket No]])&gt;1,"Duplicate","OK")</f>
        <v>OK</v>
      </c>
      <c r="Z43" s="2" t="str">
        <f ca="1">IF(NPS_Data[[#This Row],[RemarkHash]]="","OK",
   IF(COUNTIF(NPS_Data[RemarkHash],NPS_Data[[#This Row],[RemarkHash]])&gt;1,"RepeatedRemark","OK"))</f>
        <v>OK</v>
      </c>
      <c r="AA43" s="17">
        <f>IF( AND( ISNUMBER(NPS_Data[[#This Row],[CreatedDateTime]]), ISNUMBER(NPS_Data[[#This Row],[ResolvedDateTime]]) ), (NPS_Data[[#This Row],[ResolvedDateTime]] - NPS_Data[[#This Row],[CreatedDateTime]]) * 24, 0 )</f>
        <v>237.50805555557599</v>
      </c>
      <c r="AB43" s="65" t="str">
        <f>IF(NOT(ISNA(NPS_Data[[#This Row],[CreatedDateTime]])),
   YEAR(NPS_Data[[#This Row],[CreatedDateTime]]) &amp; "-" &amp; TEXT(WEEKNUM(NPS_Data[[#This Row],[CreatedDateTime]],2),"00"),
   "")</f>
        <v>2025-33</v>
      </c>
      <c r="AC43" s="14" t="str">
        <f>IF(NOT(ISNA(NPS_Data[[#This Row],[CreatedDateTime]])), TEXT(NPS_Data[[#This Row],[CreatedDateTime]],"YYYY-MM"), "")</f>
        <v>2025-08</v>
      </c>
      <c r="AD43" s="14" t="str">
        <f>IF(NOT(ISNUMBER(NPS_Data[[#This Row],[ResolutionHours]])),"Open", IF(NPS_Data[[#This Row],[ResolutionHours]]&gt;72,"Breach","OK"))</f>
        <v>Breach</v>
      </c>
      <c r="AE43" s="14">
        <f>IF(AND(ISNUMBER(NPS_Data[[#This Row],[CreatedDateTime]]), ISNUMBER(NPS_Data[[#This Row],[ResolvedDateTime]])), 1, 0)</f>
        <v>1</v>
      </c>
      <c r="AF43" s="48" t="str">
        <f>IF(NOT(ISNA(NPS_Data[[#This Row],[CreatedDateTime]])), TEXT(NPS_Data[[#This Row],[CreatedDateTime]],"dddd"), "")</f>
        <v>Monday</v>
      </c>
    </row>
    <row r="44" spans="1:32" x14ac:dyDescent="0.25">
      <c r="A44" s="2" t="s">
        <v>319</v>
      </c>
      <c r="B44" s="2" t="s">
        <v>63</v>
      </c>
      <c r="C44" s="2" t="s">
        <v>320</v>
      </c>
      <c r="D4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45921.763657407406</v>
      </c>
      <c r="E44" s="2" t="s">
        <v>104</v>
      </c>
      <c r="F44" s="2" t="s">
        <v>321</v>
      </c>
      <c r="G44" s="2" t="s">
        <v>322</v>
      </c>
      <c r="H44"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45926.715324074074</v>
      </c>
      <c r="I44" s="2" t="s">
        <v>23</v>
      </c>
      <c r="J44" s="2" t="s">
        <v>23</v>
      </c>
      <c r="K44" s="2" t="s">
        <v>88</v>
      </c>
      <c r="L44" s="2" t="s">
        <v>323</v>
      </c>
      <c r="M44" s="2" t="s">
        <v>324</v>
      </c>
      <c r="N44" s="2" t="s">
        <v>241</v>
      </c>
      <c r="O44" s="2" t="s">
        <v>41</v>
      </c>
      <c r="P44" s="2" t="s">
        <v>242</v>
      </c>
      <c r="Q44" s="3">
        <v>7</v>
      </c>
      <c r="R44" s="2" t="s">
        <v>30</v>
      </c>
      <c r="S44" s="2" t="s">
        <v>31</v>
      </c>
      <c r="T44" s="2" t="str">
        <f>IF(OR(NPS_Data[[#This Row],[CreatedDateTime]]="",NPS_Data[[#This Row],[Assigned To]]="",NPS_Data[[#This Row],[Issue 2 - NPS]]="",NPS_Data[[#This Row],[Program Name]]=""),"Missing","OK")</f>
        <v>OK</v>
      </c>
      <c r="U44" s="2" t="str">
        <f>IF(
  AND(NPS_Data[[#This Row],[Status]]="Complete", OR(ISNA(NPS_Data[[#This Row],[ResolvedDateTime]]), ISBLANK(NPS_Data[[#This Row],[ResolvedDateTime]]))),
  "CompleteNoResolved",
  IF(
    AND(NPS_Data[[#This Row],[Status]]="Pending", NPS_Data[[#This Row],[Sub Status]]="Solved"),
    "PendingButSolved",
    "OK"
  )
)</f>
        <v>OK</v>
      </c>
      <c r="V4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44" s="2" t="str">
        <f>IFERROR(TRIM(CLEAN(NPS_Data[[#This Row],[Ticket All Remarks]])),"")</f>
        <v>Overqualified for junior positions, underqualified for senior roles. 6 years in different domain creates positioning challenge for appropriate level targeting. || Resolution: Developed targeted application strategy for career pivot roles</v>
      </c>
      <c r="X44" s="2" cm="1">
        <f t="array" aca="1" ref="X44" ca="1">IF(NPS_Data[[#This Row],[CleanRemark]]="","",
   SUMPRODUCT(CODE(MID(NPS_Data[[#This Row],[CleanRemark]],ROW(INDIRECT("1:"&amp;LEN(NPS_Data[[#This Row],[CleanRemark]]))),1))))</f>
        <v>23001</v>
      </c>
      <c r="Y44" s="2" t="str">
        <f>IF(COUNTIF(NPS_Data[Ticket No],NPS_Data[[#This Row],[Ticket No]])&gt;1,"Duplicate","OK")</f>
        <v>OK</v>
      </c>
      <c r="Z44" s="2" t="str">
        <f ca="1">IF(NPS_Data[[#This Row],[RemarkHash]]="","OK",
   IF(COUNTIF(NPS_Data[RemarkHash],NPS_Data[[#This Row],[RemarkHash]])&gt;1,"RepeatedRemark","OK"))</f>
        <v>RepeatedRemark</v>
      </c>
      <c r="AA44" s="17">
        <f>IF( AND( ISNUMBER(NPS_Data[[#This Row],[CreatedDateTime]]), ISNUMBER(NPS_Data[[#This Row],[ResolvedDateTime]]) ), (NPS_Data[[#This Row],[ResolvedDateTime]] - NPS_Data[[#This Row],[CreatedDateTime]]) * 24, 0 )</f>
        <v>118.84000000002561</v>
      </c>
      <c r="AB44" s="65" t="str">
        <f>IF(NOT(ISNA(NPS_Data[[#This Row],[CreatedDateTime]])),
   YEAR(NPS_Data[[#This Row],[CreatedDateTime]]) &amp; "-" &amp; TEXT(WEEKNUM(NPS_Data[[#This Row],[CreatedDateTime]],2),"00"),
   "")</f>
        <v>2025-38</v>
      </c>
      <c r="AC44" s="14" t="str">
        <f>IF(NOT(ISNA(NPS_Data[[#This Row],[CreatedDateTime]])), TEXT(NPS_Data[[#This Row],[CreatedDateTime]],"YYYY-MM"), "")</f>
        <v>2025-09</v>
      </c>
      <c r="AD44" s="14" t="str">
        <f>IF(NOT(ISNUMBER(NPS_Data[[#This Row],[ResolutionHours]])),"Open", IF(NPS_Data[[#This Row],[ResolutionHours]]&gt;72,"Breach","OK"))</f>
        <v>Breach</v>
      </c>
      <c r="AE44" s="14">
        <f>IF(AND(ISNUMBER(NPS_Data[[#This Row],[CreatedDateTime]]), ISNUMBER(NPS_Data[[#This Row],[ResolvedDateTime]])), 1, 0)</f>
        <v>1</v>
      </c>
      <c r="AF44" s="48" t="str">
        <f>IF(NOT(ISNA(NPS_Data[[#This Row],[CreatedDateTime]])), TEXT(NPS_Data[[#This Row],[CreatedDateTime]],"dddd"), "")</f>
        <v>Sunday</v>
      </c>
    </row>
    <row r="45" spans="1:32" x14ac:dyDescent="0.25">
      <c r="A45" s="2" t="s">
        <v>325</v>
      </c>
      <c r="B45" s="2" t="s">
        <v>191</v>
      </c>
      <c r="C45" s="2" t="s">
        <v>326</v>
      </c>
      <c r="D4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45900.412291666667</v>
      </c>
      <c r="E45" s="2" t="s">
        <v>104</v>
      </c>
      <c r="F45" s="2" t="s">
        <v>288</v>
      </c>
      <c r="G45" s="2" t="s">
        <v>327</v>
      </c>
      <c r="H45"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45907.765694444446</v>
      </c>
      <c r="I45" s="2" t="s">
        <v>23</v>
      </c>
      <c r="J45" s="2" t="s">
        <v>23</v>
      </c>
      <c r="K45" s="2" t="s">
        <v>88</v>
      </c>
      <c r="L45" s="2" t="s">
        <v>328</v>
      </c>
      <c r="M45" s="2" t="s">
        <v>329</v>
      </c>
      <c r="N45" s="2" t="s">
        <v>241</v>
      </c>
      <c r="O45" s="2" t="s">
        <v>48</v>
      </c>
      <c r="P45" s="2" t="s">
        <v>242</v>
      </c>
      <c r="Q45" s="3">
        <v>8</v>
      </c>
      <c r="R45" s="2" t="s">
        <v>30</v>
      </c>
      <c r="S45" s="2" t="s">
        <v>31</v>
      </c>
      <c r="T45" s="2" t="str">
        <f>IF(OR(NPS_Data[[#This Row],[CreatedDateTime]]="",NPS_Data[[#This Row],[Assigned To]]="",NPS_Data[[#This Row],[Issue 2 - NPS]]="",NPS_Data[[#This Row],[Program Name]]=""),"Missing","OK")</f>
        <v>OK</v>
      </c>
      <c r="U45" s="2" t="str">
        <f>IF(
  AND(NPS_Data[[#This Row],[Status]]="Complete", OR(ISNA(NPS_Data[[#This Row],[ResolvedDateTime]]), ISBLANK(NPS_Data[[#This Row],[ResolvedDateTime]]))),
  "CompleteNoResolved",
  IF(
    AND(NPS_Data[[#This Row],[Status]]="Pending", NPS_Data[[#This Row],[Sub Status]]="Solved"),
    "PendingButSolved",
    "OK"
  )
)</f>
        <v>OK</v>
      </c>
      <c r="V4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45" s="2" t="str">
        <f>IFERROR(TRIM(CLEAN(NPS_Data[[#This Row],[Ticket All Remarks]])),"")</f>
        <v>Overqualified for junior positions, underqualified for senior roles. 6 years in different domain creates positioning challenge for appropriate level targeting. || Resolution: Developed targeted application strategy for career pivot roles</v>
      </c>
      <c r="X45" s="2" cm="1">
        <f t="array" aca="1" ref="X45" ca="1">IF(NPS_Data[[#This Row],[CleanRemark]]="","",
   SUMPRODUCT(CODE(MID(NPS_Data[[#This Row],[CleanRemark]],ROW(INDIRECT("1:"&amp;LEN(NPS_Data[[#This Row],[CleanRemark]]))),1))))</f>
        <v>23001</v>
      </c>
      <c r="Y45" s="2" t="str">
        <f>IF(COUNTIF(NPS_Data[Ticket No],NPS_Data[[#This Row],[Ticket No]])&gt;1,"Duplicate","OK")</f>
        <v>OK</v>
      </c>
      <c r="Z45" s="2" t="str">
        <f ca="1">IF(NPS_Data[[#This Row],[RemarkHash]]="","OK",
   IF(COUNTIF(NPS_Data[RemarkHash],NPS_Data[[#This Row],[RemarkHash]])&gt;1,"RepeatedRemark","OK"))</f>
        <v>RepeatedRemark</v>
      </c>
      <c r="AA45" s="17">
        <f>IF( AND( ISNUMBER(NPS_Data[[#This Row],[CreatedDateTime]]), ISNUMBER(NPS_Data[[#This Row],[ResolvedDateTime]]) ), (NPS_Data[[#This Row],[ResolvedDateTime]] - NPS_Data[[#This Row],[CreatedDateTime]]) * 24, 0 )</f>
        <v>176.4816666666884</v>
      </c>
      <c r="AB45" s="65" t="str">
        <f>IF(NOT(ISNA(NPS_Data[[#This Row],[CreatedDateTime]])),
   YEAR(NPS_Data[[#This Row],[CreatedDateTime]]) &amp; "-" &amp; TEXT(WEEKNUM(NPS_Data[[#This Row],[CreatedDateTime]],2),"00"),
   "")</f>
        <v>2025-35</v>
      </c>
      <c r="AC45" s="14" t="str">
        <f>IF(NOT(ISNA(NPS_Data[[#This Row],[CreatedDateTime]])), TEXT(NPS_Data[[#This Row],[CreatedDateTime]],"YYYY-MM"), "")</f>
        <v>2025-08</v>
      </c>
      <c r="AD45" s="14" t="str">
        <f>IF(NOT(ISNUMBER(NPS_Data[[#This Row],[ResolutionHours]])),"Open", IF(NPS_Data[[#This Row],[ResolutionHours]]&gt;72,"Breach","OK"))</f>
        <v>Breach</v>
      </c>
      <c r="AE45" s="14">
        <f>IF(AND(ISNUMBER(NPS_Data[[#This Row],[CreatedDateTime]]), ISNUMBER(NPS_Data[[#This Row],[ResolvedDateTime]])), 1, 0)</f>
        <v>1</v>
      </c>
      <c r="AF45" s="48" t="str">
        <f>IF(NOT(ISNA(NPS_Data[[#This Row],[CreatedDateTime]])), TEXT(NPS_Data[[#This Row],[CreatedDateTime]],"dddd"), "")</f>
        <v>Sunday</v>
      </c>
    </row>
    <row r="46" spans="1:32" x14ac:dyDescent="0.25">
      <c r="A46" s="2" t="s">
        <v>330</v>
      </c>
      <c r="B46" s="2" t="s">
        <v>331</v>
      </c>
      <c r="C46" s="2" t="s">
        <v>332</v>
      </c>
      <c r="D4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45919.800451388888</v>
      </c>
      <c r="E46" s="2" t="s">
        <v>44</v>
      </c>
      <c r="H46"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46" s="2" t="s">
        <v>23</v>
      </c>
      <c r="J46" s="2" t="s">
        <v>23</v>
      </c>
      <c r="K46" s="2" t="s">
        <v>38</v>
      </c>
      <c r="L46" s="2" t="s">
        <v>333</v>
      </c>
      <c r="M46" s="2" t="s">
        <v>334</v>
      </c>
      <c r="N46" s="2" t="s">
        <v>335</v>
      </c>
      <c r="O46" s="2" t="s">
        <v>48</v>
      </c>
      <c r="P46" s="2" t="s">
        <v>148</v>
      </c>
      <c r="Q46" s="3">
        <v>9</v>
      </c>
      <c r="R46" s="2" t="s">
        <v>49</v>
      </c>
      <c r="S46" s="2" t="s">
        <v>50</v>
      </c>
      <c r="T46" s="2" t="str">
        <f>IF(OR(NPS_Data[[#This Row],[CreatedDateTime]]="",NPS_Data[[#This Row],[Assigned To]]="",NPS_Data[[#This Row],[Issue 2 - NPS]]="",NPS_Data[[#This Row],[Program Name]]=""),"Missing","OK")</f>
        <v>OK</v>
      </c>
      <c r="U46" s="2" t="str">
        <f>IF(
  AND(NPS_Data[[#This Row],[Status]]="Complete", OR(ISNA(NPS_Data[[#This Row],[ResolvedDateTime]]), ISBLANK(NPS_Data[[#This Row],[ResolvedDateTime]]))),
  "CompleteNoResolved",
  IF(
    AND(NPS_Data[[#This Row],[Status]]="Pending", NPS_Data[[#This Row],[Sub Status]]="Solved"),
    "PendingButSolved",
    "OK"
  )
)</f>
        <v>OK</v>
      </c>
      <c r="V4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46" s="2" t="str">
        <f>IFERROR(TRIM(CLEAN(NPS_Data[[#This Row],[Ticket All Remarks]])),"")</f>
        <v>Instructor Nina Patel Rajesh Kumar in AIML Jul25 DevOps Jul25 explains neural networks too fast. Yesterday's backpropagation session covered complex mathematics in 20 minutes without examples. When students ask questions, he just says 'check the slides'. Need detailed mathematical walkthrough. || Resolution: Arranged additional math tutorial sessions with TA support</v>
      </c>
      <c r="X46" s="2" cm="1">
        <f t="array" aca="1" ref="X46" ca="1">IF(NPS_Data[[#This Row],[CleanRemark]]="","",
   SUMPRODUCT(CODE(MID(NPS_Data[[#This Row],[CleanRemark]],ROW(INDIRECT("1:"&amp;LEN(NPS_Data[[#This Row],[CleanRemark]]))),1))))</f>
        <v>34609</v>
      </c>
      <c r="Y46" s="2" t="str">
        <f>IF(COUNTIF(NPS_Data[Ticket No],NPS_Data[[#This Row],[Ticket No]])&gt;1,"Duplicate","OK")</f>
        <v>OK</v>
      </c>
      <c r="Z46" s="2" t="str">
        <f ca="1">IF(NPS_Data[[#This Row],[RemarkHash]]="","OK",
   IF(COUNTIF(NPS_Data[RemarkHash],NPS_Data[[#This Row],[RemarkHash]])&gt;1,"RepeatedRemark","OK"))</f>
        <v>OK</v>
      </c>
      <c r="AA46" s="17">
        <f>IF( AND( ISNUMBER(NPS_Data[[#This Row],[CreatedDateTime]]), ISNUMBER(NPS_Data[[#This Row],[ResolvedDateTime]]) ), (NPS_Data[[#This Row],[ResolvedDateTime]] - NPS_Data[[#This Row],[CreatedDateTime]]) * 24, 0 )</f>
        <v>0</v>
      </c>
      <c r="AB46" s="65" t="str">
        <f>IF(NOT(ISNA(NPS_Data[[#This Row],[CreatedDateTime]])),
   YEAR(NPS_Data[[#This Row],[CreatedDateTime]]) &amp; "-" &amp; TEXT(WEEKNUM(NPS_Data[[#This Row],[CreatedDateTime]],2),"00"),
   "")</f>
        <v>2025-38</v>
      </c>
      <c r="AC46" s="14" t="str">
        <f>IF(NOT(ISNA(NPS_Data[[#This Row],[CreatedDateTime]])), TEXT(NPS_Data[[#This Row],[CreatedDateTime]],"YYYY-MM"), "")</f>
        <v>2025-09</v>
      </c>
      <c r="AD46" s="14" t="str">
        <f>IF(NOT(ISNUMBER(NPS_Data[[#This Row],[ResolutionHours]])),"Open", IF(NPS_Data[[#This Row],[ResolutionHours]]&gt;72,"Breach","OK"))</f>
        <v>OK</v>
      </c>
      <c r="AE46" s="14">
        <f>IF(AND(ISNUMBER(NPS_Data[[#This Row],[CreatedDateTime]]), ISNUMBER(NPS_Data[[#This Row],[ResolvedDateTime]])), 1, 0)</f>
        <v>0</v>
      </c>
      <c r="AF46" s="48" t="str">
        <f>IF(NOT(ISNA(NPS_Data[[#This Row],[CreatedDateTime]])), TEXT(NPS_Data[[#This Row],[CreatedDateTime]],"dddd"), "")</f>
        <v>Friday</v>
      </c>
    </row>
    <row r="47" spans="1:32" x14ac:dyDescent="0.25">
      <c r="A47" s="2" t="s">
        <v>336</v>
      </c>
      <c r="B47" s="2" t="s">
        <v>224</v>
      </c>
      <c r="C47" s="2" t="s">
        <v>337</v>
      </c>
      <c r="D4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45872.616273148145</v>
      </c>
      <c r="E47" s="2" t="s">
        <v>219</v>
      </c>
      <c r="F47" s="2" t="s">
        <v>313</v>
      </c>
      <c r="G47" s="2" t="s">
        <v>338</v>
      </c>
      <c r="H47"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45880.400960648149</v>
      </c>
      <c r="I47" s="2" t="s">
        <v>23</v>
      </c>
      <c r="J47" s="2" t="s">
        <v>23</v>
      </c>
      <c r="K47" s="2" t="s">
        <v>38</v>
      </c>
      <c r="L47" s="2" t="s">
        <v>339</v>
      </c>
      <c r="M47" s="2" t="s">
        <v>340</v>
      </c>
      <c r="N47" s="2" t="s">
        <v>100</v>
      </c>
      <c r="O47" s="2" t="s">
        <v>177</v>
      </c>
      <c r="P47" s="2" t="s">
        <v>68</v>
      </c>
      <c r="Q47" s="3">
        <v>6</v>
      </c>
      <c r="R47" s="2" t="s">
        <v>30</v>
      </c>
      <c r="S47" s="2" t="s">
        <v>31</v>
      </c>
      <c r="T47" s="2" t="str">
        <f>IF(OR(NPS_Data[[#This Row],[CreatedDateTime]]="",NPS_Data[[#This Row],[Assigned To]]="",NPS_Data[[#This Row],[Issue 2 - NPS]]="",NPS_Data[[#This Row],[Program Name]]=""),"Missing","OK")</f>
        <v>OK</v>
      </c>
      <c r="U47" s="2" t="str">
        <f>IF(
  AND(NPS_Data[[#This Row],[Status]]="Complete", OR(ISNA(NPS_Data[[#This Row],[ResolvedDateTime]]), ISBLANK(NPS_Data[[#This Row],[ResolvedDateTime]]))),
  "CompleteNoResolved",
  IF(
    AND(NPS_Data[[#This Row],[Status]]="Pending", NPS_Data[[#This Row],[Sub Status]]="Solved"),
    "PendingButSolved",
    "OK"
  )
)</f>
        <v>OK</v>
      </c>
      <c r="V4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47" s="2" t="str">
        <f>IFERROR(TRIM(CLEAN(NPS_Data[[#This Row],[Ticket All Remarks]])),"")</f>
        <v>Sales promised 100% job guarantee within 6 months but placement team says no such commitment exists. Feel misled about course outcomes. || Resolution: Clarified placement support terms and provided additional career assistance</v>
      </c>
      <c r="X47" s="2" cm="1">
        <f t="array" aca="1" ref="X47" ca="1">IF(NPS_Data[[#This Row],[CleanRemark]]="","",
   SUMPRODUCT(CODE(MID(NPS_Data[[#This Row],[CleanRemark]],ROW(INDIRECT("1:"&amp;LEN(NPS_Data[[#This Row],[CleanRemark]]))),1))))</f>
        <v>21446</v>
      </c>
      <c r="Y47" s="2" t="str">
        <f>IF(COUNTIF(NPS_Data[Ticket No],NPS_Data[[#This Row],[Ticket No]])&gt;1,"Duplicate","OK")</f>
        <v>OK</v>
      </c>
      <c r="Z47" s="2" t="str">
        <f ca="1">IF(NPS_Data[[#This Row],[RemarkHash]]="","OK",
   IF(COUNTIF(NPS_Data[RemarkHash],NPS_Data[[#This Row],[RemarkHash]])&gt;1,"RepeatedRemark","OK"))</f>
        <v>RepeatedRemark</v>
      </c>
      <c r="AA47" s="17">
        <f>IF( AND( ISNUMBER(NPS_Data[[#This Row],[CreatedDateTime]]), ISNUMBER(NPS_Data[[#This Row],[ResolvedDateTime]]) ), (NPS_Data[[#This Row],[ResolvedDateTime]] - NPS_Data[[#This Row],[CreatedDateTime]]) * 24, 0 )</f>
        <v>186.83250000007683</v>
      </c>
      <c r="AB47" s="65" t="str">
        <f>IF(NOT(ISNA(NPS_Data[[#This Row],[CreatedDateTime]])),
   YEAR(NPS_Data[[#This Row],[CreatedDateTime]]) &amp; "-" &amp; TEXT(WEEKNUM(NPS_Data[[#This Row],[CreatedDateTime]],2),"00"),
   "")</f>
        <v>2025-31</v>
      </c>
      <c r="AC47" s="14" t="str">
        <f>IF(NOT(ISNA(NPS_Data[[#This Row],[CreatedDateTime]])), TEXT(NPS_Data[[#This Row],[CreatedDateTime]],"YYYY-MM"), "")</f>
        <v>2025-08</v>
      </c>
      <c r="AD47" s="14" t="str">
        <f>IF(NOT(ISNUMBER(NPS_Data[[#This Row],[ResolutionHours]])),"Open", IF(NPS_Data[[#This Row],[ResolutionHours]]&gt;72,"Breach","OK"))</f>
        <v>Breach</v>
      </c>
      <c r="AE47" s="14">
        <f>IF(AND(ISNUMBER(NPS_Data[[#This Row],[CreatedDateTime]]), ISNUMBER(NPS_Data[[#This Row],[ResolvedDateTime]])), 1, 0)</f>
        <v>1</v>
      </c>
      <c r="AF47" s="48" t="str">
        <f>IF(NOT(ISNA(NPS_Data[[#This Row],[CreatedDateTime]])), TEXT(NPS_Data[[#This Row],[CreatedDateTime]],"dddd"), "")</f>
        <v>Sunday</v>
      </c>
    </row>
    <row r="48" spans="1:32" x14ac:dyDescent="0.25">
      <c r="A48" s="2" t="s">
        <v>341</v>
      </c>
      <c r="B48" s="2" t="s">
        <v>313</v>
      </c>
      <c r="C48" s="2" t="s">
        <v>342</v>
      </c>
      <c r="D4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45880.669548611113</v>
      </c>
      <c r="E48" s="2" t="s">
        <v>35</v>
      </c>
      <c r="F48" s="2" t="s">
        <v>343</v>
      </c>
      <c r="G48" s="2" t="s">
        <v>344</v>
      </c>
      <c r="H48"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45888.574942129628</v>
      </c>
      <c r="I48" s="2" t="s">
        <v>23</v>
      </c>
      <c r="J48" s="2" t="s">
        <v>23</v>
      </c>
      <c r="K48" s="2" t="s">
        <v>56</v>
      </c>
      <c r="L48" s="2" t="s">
        <v>339</v>
      </c>
      <c r="M48" s="2" t="s">
        <v>345</v>
      </c>
      <c r="N48" s="2" t="s">
        <v>346</v>
      </c>
      <c r="O48" s="2" t="s">
        <v>48</v>
      </c>
      <c r="P48" s="2" t="s">
        <v>60</v>
      </c>
      <c r="Q48" s="3">
        <v>7</v>
      </c>
      <c r="R48" s="2" t="s">
        <v>30</v>
      </c>
      <c r="S48" s="2" t="s">
        <v>31</v>
      </c>
      <c r="T48" s="2" t="str">
        <f>IF(OR(NPS_Data[[#This Row],[CreatedDateTime]]="",NPS_Data[[#This Row],[Assigned To]]="",NPS_Data[[#This Row],[Issue 2 - NPS]]="",NPS_Data[[#This Row],[Program Name]]=""),"Missing","OK")</f>
        <v>OK</v>
      </c>
      <c r="U48" s="2" t="str">
        <f>IF(
  AND(NPS_Data[[#This Row],[Status]]="Complete", OR(ISNA(NPS_Data[[#This Row],[ResolvedDateTime]]), ISBLANK(NPS_Data[[#This Row],[ResolvedDateTime]]))),
  "CompleteNoResolved",
  IF(
    AND(NPS_Data[[#This Row],[Status]]="Pending", NPS_Data[[#This Row],[Sub Status]]="Solved"),
    "PendingButSolved",
    "OK"
  )
)</f>
        <v>OK</v>
      </c>
      <c r="V4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48" s="2" t="str">
        <f>IFERROR(TRIM(CLEAN(NPS_Data[[#This Row],[Ticket All Remarks]])),"")</f>
        <v>Assignment deadlines clash with office project deliveries. Given 3 major assignments during typical sprint planning weeks. Need better coordination. || Resolution: Staggered assignment deadlines and provided extension options</v>
      </c>
      <c r="X48" s="2" cm="1">
        <f t="array" aca="1" ref="X48" ca="1">IF(NPS_Data[[#This Row],[CleanRemark]]="","",
   SUMPRODUCT(CODE(MID(NPS_Data[[#This Row],[CleanRemark]],ROW(INDIRECT("1:"&amp;LEN(NPS_Data[[#This Row],[CleanRemark]]))),1))))</f>
        <v>21738</v>
      </c>
      <c r="Y48" s="2" t="str">
        <f>IF(COUNTIF(NPS_Data[Ticket No],NPS_Data[[#This Row],[Ticket No]])&gt;1,"Duplicate","OK")</f>
        <v>OK</v>
      </c>
      <c r="Z48" s="2" t="str">
        <f ca="1">IF(NPS_Data[[#This Row],[RemarkHash]]="","OK",
   IF(COUNTIF(NPS_Data[RemarkHash],NPS_Data[[#This Row],[RemarkHash]])&gt;1,"RepeatedRemark","OK"))</f>
        <v>RepeatedRemark</v>
      </c>
      <c r="AA48" s="17">
        <f>IF( AND( ISNUMBER(NPS_Data[[#This Row],[CreatedDateTime]]), ISNUMBER(NPS_Data[[#This Row],[ResolvedDateTime]]) ), (NPS_Data[[#This Row],[ResolvedDateTime]] - NPS_Data[[#This Row],[CreatedDateTime]]) * 24, 0 )</f>
        <v>189.72944444435416</v>
      </c>
      <c r="AB48" s="65" t="str">
        <f>IF(NOT(ISNA(NPS_Data[[#This Row],[CreatedDateTime]])),
   YEAR(NPS_Data[[#This Row],[CreatedDateTime]]) &amp; "-" &amp; TEXT(WEEKNUM(NPS_Data[[#This Row],[CreatedDateTime]],2),"00"),
   "")</f>
        <v>2025-33</v>
      </c>
      <c r="AC48" s="14" t="str">
        <f>IF(NOT(ISNA(NPS_Data[[#This Row],[CreatedDateTime]])), TEXT(NPS_Data[[#This Row],[CreatedDateTime]],"YYYY-MM"), "")</f>
        <v>2025-08</v>
      </c>
      <c r="AD48" s="14" t="str">
        <f>IF(NOT(ISNUMBER(NPS_Data[[#This Row],[ResolutionHours]])),"Open", IF(NPS_Data[[#This Row],[ResolutionHours]]&gt;72,"Breach","OK"))</f>
        <v>Breach</v>
      </c>
      <c r="AE48" s="14">
        <f>IF(AND(ISNUMBER(NPS_Data[[#This Row],[CreatedDateTime]]), ISNUMBER(NPS_Data[[#This Row],[ResolvedDateTime]])), 1, 0)</f>
        <v>1</v>
      </c>
      <c r="AF48" s="48" t="str">
        <f>IF(NOT(ISNA(NPS_Data[[#This Row],[CreatedDateTime]])), TEXT(NPS_Data[[#This Row],[CreatedDateTime]],"dddd"), "")</f>
        <v>Monday</v>
      </c>
    </row>
    <row r="49" spans="1:32" x14ac:dyDescent="0.25">
      <c r="A49" s="2" t="s">
        <v>347</v>
      </c>
      <c r="B49" s="2" t="s">
        <v>111</v>
      </c>
      <c r="C49" s="2" t="s">
        <v>348</v>
      </c>
      <c r="D4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45870.807708333334</v>
      </c>
      <c r="E49" s="2" t="s">
        <v>35</v>
      </c>
      <c r="F49" s="2" t="s">
        <v>224</v>
      </c>
      <c r="G49" s="2" t="s">
        <v>349</v>
      </c>
      <c r="H49"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45872.683136574073</v>
      </c>
      <c r="I49" s="2" t="s">
        <v>23</v>
      </c>
      <c r="J49" s="2" t="s">
        <v>23</v>
      </c>
      <c r="K49" s="2" t="s">
        <v>38</v>
      </c>
      <c r="L49" s="2" t="s">
        <v>350</v>
      </c>
      <c r="M49" s="2" t="s">
        <v>351</v>
      </c>
      <c r="N49" s="2" t="s">
        <v>305</v>
      </c>
      <c r="O49" s="2" t="s">
        <v>48</v>
      </c>
      <c r="P49" s="2" t="s">
        <v>158</v>
      </c>
      <c r="Q49" s="3">
        <v>1</v>
      </c>
      <c r="R49" s="2" t="s">
        <v>30</v>
      </c>
      <c r="S49" s="2" t="s">
        <v>31</v>
      </c>
      <c r="T49" s="2" t="str">
        <f>IF(OR(NPS_Data[[#This Row],[CreatedDateTime]]="",NPS_Data[[#This Row],[Assigned To]]="",NPS_Data[[#This Row],[Issue 2 - NPS]]="",NPS_Data[[#This Row],[Program Name]]=""),"Missing","OK")</f>
        <v>OK</v>
      </c>
      <c r="U49" s="2" t="str">
        <f>IF(
  AND(NPS_Data[[#This Row],[Status]]="Complete", OR(ISNA(NPS_Data[[#This Row],[ResolvedDateTime]]), ISBLANK(NPS_Data[[#This Row],[ResolvedDateTime]]))),
  "CompleteNoResolved",
  IF(
    AND(NPS_Data[[#This Row],[Status]]="Pending", NPS_Data[[#This Row],[Sub Status]]="Solved"),
    "PendingButSolved",
    "OK"
  )
)</f>
        <v>OK</v>
      </c>
      <c r="V4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49" s="2" t="str">
        <f>IFERROR(TRIM(CLEAN(NPS_Data[[#This Row],[Ticket All Remarks]])),"")</f>
        <v>Evening DSML Jul25 starts at 7 PM when dinner time with family. Work-life balance getting affected due to late learning schedule. || Resolution: Introduced early evening slots (6-8 PM) based on demand</v>
      </c>
      <c r="X49" s="2" cm="1">
        <f t="array" aca="1" ref="X49" ca="1">IF(NPS_Data[[#This Row],[CleanRemark]]="","",
   SUMPRODUCT(CODE(MID(NPS_Data[[#This Row],[CleanRemark]],ROW(INDIRECT("1:"&amp;LEN(NPS_Data[[#This Row],[CleanRemark]]))),1))))</f>
        <v>18036</v>
      </c>
      <c r="Y49" s="2" t="str">
        <f>IF(COUNTIF(NPS_Data[Ticket No],NPS_Data[[#This Row],[Ticket No]])&gt;1,"Duplicate","OK")</f>
        <v>OK</v>
      </c>
      <c r="Z49" s="2" t="str">
        <f ca="1">IF(NPS_Data[[#This Row],[RemarkHash]]="","OK",
   IF(COUNTIF(NPS_Data[RemarkHash],NPS_Data[[#This Row],[RemarkHash]])&gt;1,"RepeatedRemark","OK"))</f>
        <v>RepeatedRemark</v>
      </c>
      <c r="AA49" s="17">
        <f>IF( AND( ISNUMBER(NPS_Data[[#This Row],[CreatedDateTime]]), ISNUMBER(NPS_Data[[#This Row],[ResolvedDateTime]]) ), (NPS_Data[[#This Row],[ResolvedDateTime]] - NPS_Data[[#This Row],[CreatedDateTime]]) * 24, 0 )</f>
        <v>45.01027777773561</v>
      </c>
      <c r="AB49" s="65" t="str">
        <f>IF(NOT(ISNA(NPS_Data[[#This Row],[CreatedDateTime]])),
   YEAR(NPS_Data[[#This Row],[CreatedDateTime]]) &amp; "-" &amp; TEXT(WEEKNUM(NPS_Data[[#This Row],[CreatedDateTime]],2),"00"),
   "")</f>
        <v>2025-31</v>
      </c>
      <c r="AC49" s="14" t="str">
        <f>IF(NOT(ISNA(NPS_Data[[#This Row],[CreatedDateTime]])), TEXT(NPS_Data[[#This Row],[CreatedDateTime]],"YYYY-MM"), "")</f>
        <v>2025-08</v>
      </c>
      <c r="AD49" s="14" t="str">
        <f>IF(NOT(ISNUMBER(NPS_Data[[#This Row],[ResolutionHours]])),"Open", IF(NPS_Data[[#This Row],[ResolutionHours]]&gt;72,"Breach","OK"))</f>
        <v>OK</v>
      </c>
      <c r="AE49" s="14">
        <f>IF(AND(ISNUMBER(NPS_Data[[#This Row],[CreatedDateTime]]), ISNUMBER(NPS_Data[[#This Row],[ResolvedDateTime]])), 1, 0)</f>
        <v>1</v>
      </c>
      <c r="AF49" s="48" t="str">
        <f>IF(NOT(ISNA(NPS_Data[[#This Row],[CreatedDateTime]])), TEXT(NPS_Data[[#This Row],[CreatedDateTime]],"dddd"), "")</f>
        <v>Friday</v>
      </c>
    </row>
    <row r="50" spans="1:32" x14ac:dyDescent="0.25">
      <c r="A50" s="2" t="s">
        <v>352</v>
      </c>
      <c r="B50" s="2" t="s">
        <v>72</v>
      </c>
      <c r="C50" s="2" t="s">
        <v>353</v>
      </c>
      <c r="D5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45910.42224537037</v>
      </c>
      <c r="E50" s="2" t="s">
        <v>71</v>
      </c>
      <c r="H50"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50" s="2" t="s">
        <v>23</v>
      </c>
      <c r="J50" s="2" t="s">
        <v>23</v>
      </c>
      <c r="K50" s="2" t="s">
        <v>38</v>
      </c>
      <c r="L50" s="2" t="s">
        <v>354</v>
      </c>
      <c r="M50" s="2" t="s">
        <v>355</v>
      </c>
      <c r="N50" s="2" t="s">
        <v>356</v>
      </c>
      <c r="O50" s="2" t="s">
        <v>48</v>
      </c>
      <c r="P50" s="2" t="s">
        <v>148</v>
      </c>
      <c r="Q50" s="3">
        <v>5</v>
      </c>
      <c r="R50" s="2" t="s">
        <v>49</v>
      </c>
      <c r="S50" s="2" t="s">
        <v>50</v>
      </c>
      <c r="T50" s="2" t="str">
        <f>IF(OR(NPS_Data[[#This Row],[CreatedDateTime]]="",NPS_Data[[#This Row],[Assigned To]]="",NPS_Data[[#This Row],[Issue 2 - NPS]]="",NPS_Data[[#This Row],[Program Name]]=""),"Missing","OK")</f>
        <v>OK</v>
      </c>
      <c r="U50" s="2" t="str">
        <f>IF(
  AND(NPS_Data[[#This Row],[Status]]="Complete", OR(ISNA(NPS_Data[[#This Row],[ResolvedDateTime]]), ISBLANK(NPS_Data[[#This Row],[ResolvedDateTime]]))),
  "CompleteNoResolved",
  IF(
    AND(NPS_Data[[#This Row],[Status]]="Pending", NPS_Data[[#This Row],[Sub Status]]="Solved"),
    "PendingButSolved",
    "OK"
  )
)</f>
        <v>OK</v>
      </c>
      <c r="V5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50" s="2" t="str">
        <f>IFERROR(TRIM(CLEAN(NPS_Data[[#This Row],[Ticket All Remarks]])),"")</f>
        <v>Lisa Rodriguez speaks too softly during System Design sessions. Students in back rows can't hear database scaling explanations. Room acoustics poor for 150+ student Academy Jul25 Intermediate. || Resolution: Upgraded classroom sound system and reduced Academy Jul25 Intermediate size</v>
      </c>
      <c r="X50" s="2" cm="1">
        <f t="array" aca="1" ref="X50" ca="1">IF(NPS_Data[[#This Row],[CleanRemark]]="","",
   SUMPRODUCT(CODE(MID(NPS_Data[[#This Row],[CleanRemark]],ROW(INDIRECT("1:"&amp;LEN(NPS_Data[[#This Row],[CleanRemark]]))),1))))</f>
        <v>26502</v>
      </c>
      <c r="Y50" s="2" t="str">
        <f>IF(COUNTIF(NPS_Data[Ticket No],NPS_Data[[#This Row],[Ticket No]])&gt;1,"Duplicate","OK")</f>
        <v>OK</v>
      </c>
      <c r="Z50" s="2" t="str">
        <f ca="1">IF(NPS_Data[[#This Row],[RemarkHash]]="","OK",
   IF(COUNTIF(NPS_Data[RemarkHash],NPS_Data[[#This Row],[RemarkHash]])&gt;1,"RepeatedRemark","OK"))</f>
        <v>OK</v>
      </c>
      <c r="AA50" s="17">
        <f>IF( AND( ISNUMBER(NPS_Data[[#This Row],[CreatedDateTime]]), ISNUMBER(NPS_Data[[#This Row],[ResolvedDateTime]]) ), (NPS_Data[[#This Row],[ResolvedDateTime]] - NPS_Data[[#This Row],[CreatedDateTime]]) * 24, 0 )</f>
        <v>0</v>
      </c>
      <c r="AB50" s="65" t="str">
        <f>IF(NOT(ISNA(NPS_Data[[#This Row],[CreatedDateTime]])),
   YEAR(NPS_Data[[#This Row],[CreatedDateTime]]) &amp; "-" &amp; TEXT(WEEKNUM(NPS_Data[[#This Row],[CreatedDateTime]],2),"00"),
   "")</f>
        <v>2025-37</v>
      </c>
      <c r="AC50" s="14" t="str">
        <f>IF(NOT(ISNA(NPS_Data[[#This Row],[CreatedDateTime]])), TEXT(NPS_Data[[#This Row],[CreatedDateTime]],"YYYY-MM"), "")</f>
        <v>2025-09</v>
      </c>
      <c r="AD50" s="14" t="str">
        <f>IF(NOT(ISNUMBER(NPS_Data[[#This Row],[ResolutionHours]])),"Open", IF(NPS_Data[[#This Row],[ResolutionHours]]&gt;72,"Breach","OK"))</f>
        <v>OK</v>
      </c>
      <c r="AE50" s="14">
        <f>IF(AND(ISNUMBER(NPS_Data[[#This Row],[CreatedDateTime]]), ISNUMBER(NPS_Data[[#This Row],[ResolvedDateTime]])), 1, 0)</f>
        <v>0</v>
      </c>
      <c r="AF50" s="48" t="str">
        <f>IF(NOT(ISNA(NPS_Data[[#This Row],[CreatedDateTime]])), TEXT(NPS_Data[[#This Row],[CreatedDateTime]],"dddd"), "")</f>
        <v>Wednesday</v>
      </c>
    </row>
    <row r="51" spans="1:32" x14ac:dyDescent="0.25">
      <c r="A51" s="2" t="s">
        <v>357</v>
      </c>
      <c r="B51" s="2" t="s">
        <v>127</v>
      </c>
      <c r="C51" s="2" t="s">
        <v>358</v>
      </c>
      <c r="D5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45878.796446759261</v>
      </c>
      <c r="E51" s="2" t="s">
        <v>87</v>
      </c>
      <c r="F51" s="2" t="s">
        <v>226</v>
      </c>
      <c r="G51" s="2" t="s">
        <v>359</v>
      </c>
      <c r="H51"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45884.726817129631</v>
      </c>
      <c r="I51" s="2" t="s">
        <v>23</v>
      </c>
      <c r="J51" s="2" t="s">
        <v>23</v>
      </c>
      <c r="K51" s="2" t="s">
        <v>56</v>
      </c>
      <c r="L51" s="2" t="s">
        <v>360</v>
      </c>
      <c r="M51" s="2" t="s">
        <v>361</v>
      </c>
      <c r="N51" s="2" t="s">
        <v>362</v>
      </c>
      <c r="O51" s="2" t="s">
        <v>177</v>
      </c>
      <c r="P51" s="2" t="s">
        <v>125</v>
      </c>
      <c r="Q51" s="3">
        <v>3</v>
      </c>
      <c r="R51" s="2" t="s">
        <v>30</v>
      </c>
      <c r="S51" s="2" t="s">
        <v>31</v>
      </c>
      <c r="T51" s="2" t="str">
        <f>IF(OR(NPS_Data[[#This Row],[CreatedDateTime]]="",NPS_Data[[#This Row],[Assigned To]]="",NPS_Data[[#This Row],[Issue 2 - NPS]]="",NPS_Data[[#This Row],[Program Name]]=""),"Missing","OK")</f>
        <v>OK</v>
      </c>
      <c r="U51" s="2" t="str">
        <f>IF(
  AND(NPS_Data[[#This Row],[Status]]="Complete", OR(ISNA(NPS_Data[[#This Row],[ResolvedDateTime]]), ISBLANK(NPS_Data[[#This Row],[ResolvedDateTime]]))),
  "CompleteNoResolved",
  IF(
    AND(NPS_Data[[#This Row],[Status]]="Pending", NPS_Data[[#This Row],[Sub Status]]="Solved"),
    "PendingButSolved",
    "OK"
  )
)</f>
        <v>OK</v>
      </c>
      <c r="V5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51" s="2" t="str">
        <f>IFERROR(TRIM(CLEAN(NPS_Data[[#This Row],[Ticket All Remarks]])),"")</f>
        <v>Teaching Assistant lacks depth in advanced topics. Can help with basic syntax but struggles with algorithm optimization and complexity analysis questions. || Resolution: Assigned senior TA with computer science background for advanced topic support</v>
      </c>
      <c r="X51" s="2" cm="1">
        <f t="array" aca="1" ref="X51" ca="1">IF(NPS_Data[[#This Row],[CleanRemark]]="","",
   SUMPRODUCT(CODE(MID(NPS_Data[[#This Row],[CleanRemark]],ROW(INDIRECT("1:"&amp;LEN(NPS_Data[[#This Row],[CleanRemark]]))),1))))</f>
        <v>23927</v>
      </c>
      <c r="Y51" s="2" t="str">
        <f>IF(COUNTIF(NPS_Data[Ticket No],NPS_Data[[#This Row],[Ticket No]])&gt;1,"Duplicate","OK")</f>
        <v>OK</v>
      </c>
      <c r="Z51" s="2" t="str">
        <f ca="1">IF(NPS_Data[[#This Row],[RemarkHash]]="","OK",
   IF(COUNTIF(NPS_Data[RemarkHash],NPS_Data[[#This Row],[RemarkHash]])&gt;1,"RepeatedRemark","OK"))</f>
        <v>RepeatedRemark</v>
      </c>
      <c r="AA51" s="17">
        <f>IF( AND( ISNUMBER(NPS_Data[[#This Row],[CreatedDateTime]]), ISNUMBER(NPS_Data[[#This Row],[ResolvedDateTime]]) ), (NPS_Data[[#This Row],[ResolvedDateTime]] - NPS_Data[[#This Row],[CreatedDateTime]]) * 24, 0 )</f>
        <v>142.32888888887828</v>
      </c>
      <c r="AB51" s="65" t="str">
        <f>IF(NOT(ISNA(NPS_Data[[#This Row],[CreatedDateTime]])),
   YEAR(NPS_Data[[#This Row],[CreatedDateTime]]) &amp; "-" &amp; TEXT(WEEKNUM(NPS_Data[[#This Row],[CreatedDateTime]],2),"00"),
   "")</f>
        <v>2025-32</v>
      </c>
      <c r="AC51" s="14" t="str">
        <f>IF(NOT(ISNA(NPS_Data[[#This Row],[CreatedDateTime]])), TEXT(NPS_Data[[#This Row],[CreatedDateTime]],"YYYY-MM"), "")</f>
        <v>2025-08</v>
      </c>
      <c r="AD51" s="14" t="str">
        <f>IF(NOT(ISNUMBER(NPS_Data[[#This Row],[ResolutionHours]])),"Open", IF(NPS_Data[[#This Row],[ResolutionHours]]&gt;72,"Breach","OK"))</f>
        <v>Breach</v>
      </c>
      <c r="AE51" s="14">
        <f>IF(AND(ISNUMBER(NPS_Data[[#This Row],[CreatedDateTime]]), ISNUMBER(NPS_Data[[#This Row],[ResolvedDateTime]])), 1, 0)</f>
        <v>1</v>
      </c>
      <c r="AF51" s="48" t="str">
        <f>IF(NOT(ISNA(NPS_Data[[#This Row],[CreatedDateTime]])), TEXT(NPS_Data[[#This Row],[CreatedDateTime]],"dddd"), "")</f>
        <v>Saturday</v>
      </c>
    </row>
    <row r="52" spans="1:32" x14ac:dyDescent="0.25">
      <c r="A52" s="2" t="s">
        <v>363</v>
      </c>
      <c r="B52" s="2" t="s">
        <v>364</v>
      </c>
      <c r="C52" s="2" t="s">
        <v>365</v>
      </c>
      <c r="D5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45883.636944444443</v>
      </c>
      <c r="E52" s="2" t="s">
        <v>20</v>
      </c>
      <c r="F52" s="2" t="s">
        <v>366</v>
      </c>
      <c r="G52" s="2" t="s">
        <v>367</v>
      </c>
      <c r="H52"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45887.587997685187</v>
      </c>
      <c r="I52" s="2" t="s">
        <v>23</v>
      </c>
      <c r="J52" s="2" t="s">
        <v>23</v>
      </c>
      <c r="K52" s="2" t="s">
        <v>24</v>
      </c>
      <c r="L52" s="2" t="s">
        <v>368</v>
      </c>
      <c r="M52" s="2" t="s">
        <v>369</v>
      </c>
      <c r="N52" s="2" t="s">
        <v>370</v>
      </c>
      <c r="O52" s="2" t="s">
        <v>48</v>
      </c>
      <c r="P52" s="2" t="s">
        <v>29</v>
      </c>
      <c r="Q52" s="3">
        <v>7</v>
      </c>
      <c r="R52" s="2" t="s">
        <v>30</v>
      </c>
      <c r="S52" s="2" t="s">
        <v>31</v>
      </c>
      <c r="T52" s="2" t="str">
        <f>IF(OR(NPS_Data[[#This Row],[CreatedDateTime]]="",NPS_Data[[#This Row],[Assigned To]]="",NPS_Data[[#This Row],[Issue 2 - NPS]]="",NPS_Data[[#This Row],[Program Name]]=""),"Missing","OK")</f>
        <v>OK</v>
      </c>
      <c r="U52" s="2" t="str">
        <f>IF(
  AND(NPS_Data[[#This Row],[Status]]="Complete", OR(ISNA(NPS_Data[[#This Row],[ResolvedDateTime]]), ISBLANK(NPS_Data[[#This Row],[ResolvedDateTime]]))),
  "CompleteNoResolved",
  IF(
    AND(NPS_Data[[#This Row],[Status]]="Pending", NPS_Data[[#This Row],[Sub Status]]="Solved"),
    "PendingButSolved",
    "OK"
  )
)</f>
        <v>OK</v>
      </c>
      <c r="V5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52" s="2" t="str">
        <f>IFERROR(TRIM(CLEAN(NPS_Data[[#This Row],[Ticket All Remarks]])),"")</f>
        <v>Project complexity too high for time allocated. Expected to build full e-commerce site in 2 weeks while learning React simultaneously. Unrealistic expectations. || Resolution: Redesigned project scope and extended timeline with milestone-based approach</v>
      </c>
      <c r="X52" s="2" cm="1">
        <f t="array" aca="1" ref="X52" ca="1">IF(NPS_Data[[#This Row],[CleanRemark]]="","",
   SUMPRODUCT(CODE(MID(NPS_Data[[#This Row],[CleanRemark]],ROW(INDIRECT("1:"&amp;LEN(NPS_Data[[#This Row],[CleanRemark]]))),1))))</f>
        <v>24100</v>
      </c>
      <c r="Y52" s="2" t="str">
        <f>IF(COUNTIF(NPS_Data[Ticket No],NPS_Data[[#This Row],[Ticket No]])&gt;1,"Duplicate","OK")</f>
        <v>OK</v>
      </c>
      <c r="Z52" s="2" t="str">
        <f ca="1">IF(NPS_Data[[#This Row],[RemarkHash]]="","OK",
   IF(COUNTIF(NPS_Data[RemarkHash],NPS_Data[[#This Row],[RemarkHash]])&gt;1,"RepeatedRemark","OK"))</f>
        <v>RepeatedRemark</v>
      </c>
      <c r="AA52" s="17">
        <f>IF( AND( ISNUMBER(NPS_Data[[#This Row],[CreatedDateTime]]), ISNUMBER(NPS_Data[[#This Row],[ResolvedDateTime]]) ), (NPS_Data[[#This Row],[ResolvedDateTime]] - NPS_Data[[#This Row],[CreatedDateTime]]) * 24, 0 )</f>
        <v>94.825277777854353</v>
      </c>
      <c r="AB52" s="65" t="str">
        <f>IF(NOT(ISNA(NPS_Data[[#This Row],[CreatedDateTime]])),
   YEAR(NPS_Data[[#This Row],[CreatedDateTime]]) &amp; "-" &amp; TEXT(WEEKNUM(NPS_Data[[#This Row],[CreatedDateTime]],2),"00"),
   "")</f>
        <v>2025-33</v>
      </c>
      <c r="AC52" s="14" t="str">
        <f>IF(NOT(ISNA(NPS_Data[[#This Row],[CreatedDateTime]])), TEXT(NPS_Data[[#This Row],[CreatedDateTime]],"YYYY-MM"), "")</f>
        <v>2025-08</v>
      </c>
      <c r="AD52" s="14" t="str">
        <f>IF(NOT(ISNUMBER(NPS_Data[[#This Row],[ResolutionHours]])),"Open", IF(NPS_Data[[#This Row],[ResolutionHours]]&gt;72,"Breach","OK"))</f>
        <v>Breach</v>
      </c>
      <c r="AE52" s="14">
        <f>IF(AND(ISNUMBER(NPS_Data[[#This Row],[CreatedDateTime]]), ISNUMBER(NPS_Data[[#This Row],[ResolvedDateTime]])), 1, 0)</f>
        <v>1</v>
      </c>
      <c r="AF52" s="48" t="str">
        <f>IF(NOT(ISNA(NPS_Data[[#This Row],[CreatedDateTime]])), TEXT(NPS_Data[[#This Row],[CreatedDateTime]],"dddd"), "")</f>
        <v>Thursday</v>
      </c>
    </row>
    <row r="53" spans="1:32" x14ac:dyDescent="0.25">
      <c r="A53" s="2" t="s">
        <v>371</v>
      </c>
      <c r="B53" s="2" t="s">
        <v>372</v>
      </c>
      <c r="C53" s="2" t="s">
        <v>373</v>
      </c>
      <c r="D5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45920.515150462961</v>
      </c>
      <c r="E53" s="2" t="s">
        <v>219</v>
      </c>
      <c r="F53" s="2" t="s">
        <v>374</v>
      </c>
      <c r="G53" s="2" t="s">
        <v>375</v>
      </c>
      <c r="H53"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45923.759074074071</v>
      </c>
      <c r="I53" s="2" t="s">
        <v>23</v>
      </c>
      <c r="J53" s="2" t="s">
        <v>23</v>
      </c>
      <c r="K53" s="2" t="s">
        <v>38</v>
      </c>
      <c r="L53" s="2" t="s">
        <v>376</v>
      </c>
      <c r="M53" s="2" t="s">
        <v>377</v>
      </c>
      <c r="N53" s="2" t="s">
        <v>378</v>
      </c>
      <c r="O53" s="2" t="s">
        <v>177</v>
      </c>
      <c r="P53" s="2" t="s">
        <v>379</v>
      </c>
      <c r="Q53" s="3">
        <v>3</v>
      </c>
      <c r="R53" s="2" t="s">
        <v>30</v>
      </c>
      <c r="S53" s="2" t="s">
        <v>31</v>
      </c>
      <c r="T53" s="2" t="str">
        <f>IF(OR(NPS_Data[[#This Row],[CreatedDateTime]]="",NPS_Data[[#This Row],[Assigned To]]="",NPS_Data[[#This Row],[Issue 2 - NPS]]="",NPS_Data[[#This Row],[Program Name]]=""),"Missing","OK")</f>
        <v>OK</v>
      </c>
      <c r="U53" s="2" t="str">
        <f>IF(
  AND(NPS_Data[[#This Row],[Status]]="Complete", OR(ISNA(NPS_Data[[#This Row],[ResolvedDateTime]]), ISBLANK(NPS_Data[[#This Row],[ResolvedDateTime]]))),
  "CompleteNoResolved",
  IF(
    AND(NPS_Data[[#This Row],[Status]]="Pending", NPS_Data[[#This Row],[Sub Status]]="Solved"),
    "PendingButSolved",
    "OK"
  )
)</f>
        <v>OK</v>
      </c>
      <c r="V5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53" s="2" t="str">
        <f>IFERROR(TRIM(CLEAN(NPS_Data[[#This Row],[Ticket All Remarks]])),"")</f>
        <v>Machine Learning module lacks MLOps content. No coverage of model deployment, monitoring, or A/B testing. Industry expects end-to-end ML pipeline knowledge. || Resolution: Adding MLOps specialization track with hands-on deployment projects</v>
      </c>
      <c r="X53" s="2" cm="1">
        <f t="array" aca="1" ref="X53" ca="1">IF(NPS_Data[[#This Row],[CleanRemark]]="","",
   SUMPRODUCT(CODE(MID(NPS_Data[[#This Row],[CleanRemark]],ROW(INDIRECT("1:"&amp;LEN(NPS_Data[[#This Row],[CleanRemark]]))),1))))</f>
        <v>22411</v>
      </c>
      <c r="Y53" s="2" t="str">
        <f>IF(COUNTIF(NPS_Data[Ticket No],NPS_Data[[#This Row],[Ticket No]])&gt;1,"Duplicate","OK")</f>
        <v>OK</v>
      </c>
      <c r="Z53" s="2" t="str">
        <f ca="1">IF(NPS_Data[[#This Row],[RemarkHash]]="","OK",
   IF(COUNTIF(NPS_Data[RemarkHash],NPS_Data[[#This Row],[RemarkHash]])&gt;1,"RepeatedRemark","OK"))</f>
        <v>RepeatedRemark</v>
      </c>
      <c r="AA53" s="17">
        <f>IF( AND( ISNUMBER(NPS_Data[[#This Row],[CreatedDateTime]]), ISNUMBER(NPS_Data[[#This Row],[ResolvedDateTime]]) ), (NPS_Data[[#This Row],[ResolvedDateTime]] - NPS_Data[[#This Row],[CreatedDateTime]]) * 24, 0 )</f>
        <v>77.854166666627862</v>
      </c>
      <c r="AB53" s="65" t="str">
        <f>IF(NOT(ISNA(NPS_Data[[#This Row],[CreatedDateTime]])),
   YEAR(NPS_Data[[#This Row],[CreatedDateTime]]) &amp; "-" &amp; TEXT(WEEKNUM(NPS_Data[[#This Row],[CreatedDateTime]],2),"00"),
   "")</f>
        <v>2025-38</v>
      </c>
      <c r="AC53" s="14" t="str">
        <f>IF(NOT(ISNA(NPS_Data[[#This Row],[CreatedDateTime]])), TEXT(NPS_Data[[#This Row],[CreatedDateTime]],"YYYY-MM"), "")</f>
        <v>2025-09</v>
      </c>
      <c r="AD53" s="14" t="str">
        <f>IF(NOT(ISNUMBER(NPS_Data[[#This Row],[ResolutionHours]])),"Open", IF(NPS_Data[[#This Row],[ResolutionHours]]&gt;72,"Breach","OK"))</f>
        <v>Breach</v>
      </c>
      <c r="AE53" s="14">
        <f>IF(AND(ISNUMBER(NPS_Data[[#This Row],[CreatedDateTime]]), ISNUMBER(NPS_Data[[#This Row],[ResolvedDateTime]])), 1, 0)</f>
        <v>1</v>
      </c>
      <c r="AF53" s="48" t="str">
        <f>IF(NOT(ISNA(NPS_Data[[#This Row],[CreatedDateTime]])), TEXT(NPS_Data[[#This Row],[CreatedDateTime]],"dddd"), "")</f>
        <v>Saturday</v>
      </c>
    </row>
    <row r="54" spans="1:32" x14ac:dyDescent="0.25">
      <c r="A54" s="2" t="s">
        <v>380</v>
      </c>
      <c r="B54" s="2" t="s">
        <v>135</v>
      </c>
      <c r="C54" s="2" t="s">
        <v>381</v>
      </c>
      <c r="D5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45886.390856481485</v>
      </c>
      <c r="E54" s="2" t="s">
        <v>35</v>
      </c>
      <c r="H54"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54" s="2" t="s">
        <v>23</v>
      </c>
      <c r="J54" s="2" t="s">
        <v>23</v>
      </c>
      <c r="K54" s="2" t="s">
        <v>38</v>
      </c>
      <c r="L54" s="2" t="s">
        <v>382</v>
      </c>
      <c r="M54" s="2" t="s">
        <v>383</v>
      </c>
      <c r="N54" s="2" t="s">
        <v>248</v>
      </c>
      <c r="O54" s="2" t="s">
        <v>28</v>
      </c>
      <c r="P54" s="2" t="s">
        <v>148</v>
      </c>
      <c r="Q54" s="3">
        <v>2</v>
      </c>
      <c r="R54" s="2" t="s">
        <v>49</v>
      </c>
      <c r="S54" s="2" t="s">
        <v>133</v>
      </c>
      <c r="T54" s="2" t="str">
        <f>IF(OR(NPS_Data[[#This Row],[CreatedDateTime]]="",NPS_Data[[#This Row],[Assigned To]]="",NPS_Data[[#This Row],[Issue 2 - NPS]]="",NPS_Data[[#This Row],[Program Name]]=""),"Missing","OK")</f>
        <v>OK</v>
      </c>
      <c r="U54" s="2" t="str">
        <f>IF(
  AND(NPS_Data[[#This Row],[Status]]="Complete", OR(ISNA(NPS_Data[[#This Row],[ResolvedDateTime]]), ISBLANK(NPS_Data[[#This Row],[ResolvedDateTime]]))),
  "CompleteNoResolved",
  IF(
    AND(NPS_Data[[#This Row],[Status]]="Pending", NPS_Data[[#This Row],[Sub Status]]="Solved"),
    "PendingButSolved",
    "OK"
  )
)</f>
        <v>OK</v>
      </c>
      <c r="V5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54" s="2" t="str">
        <f>IFERROR(TRIM(CLEAN(NPS_Data[[#This Row],[Ticket All Remarks]])),"")</f>
        <v>Mike Wilson uses outdated examples in Machine Learning classes. Still teaching scikit-learn 0.22 syntax when industry uses 1.3+. Students struggle with modern ML libraries. || Resolution: Updated all code examples to latest library versions</v>
      </c>
      <c r="X54" s="2" cm="1">
        <f t="array" aca="1" ref="X54" ca="1">IF(NPS_Data[[#This Row],[CleanRemark]]="","",
   SUMPRODUCT(CODE(MID(NPS_Data[[#This Row],[CleanRemark]],ROW(INDIRECT("1:"&amp;LEN(NPS_Data[[#This Row],[CleanRemark]]))),1))))</f>
        <v>22422</v>
      </c>
      <c r="Y54" s="2" t="str">
        <f>IF(COUNTIF(NPS_Data[Ticket No],NPS_Data[[#This Row],[Ticket No]])&gt;1,"Duplicate","OK")</f>
        <v>OK</v>
      </c>
      <c r="Z54" s="2" t="str">
        <f ca="1">IF(NPS_Data[[#This Row],[RemarkHash]]="","OK",
   IF(COUNTIF(NPS_Data[RemarkHash],NPS_Data[[#This Row],[RemarkHash]])&gt;1,"RepeatedRemark","OK"))</f>
        <v>RepeatedRemark</v>
      </c>
      <c r="AA54" s="17">
        <f>IF( AND( ISNUMBER(NPS_Data[[#This Row],[CreatedDateTime]]), ISNUMBER(NPS_Data[[#This Row],[ResolvedDateTime]]) ), (NPS_Data[[#This Row],[ResolvedDateTime]] - NPS_Data[[#This Row],[CreatedDateTime]]) * 24, 0 )</f>
        <v>0</v>
      </c>
      <c r="AB54" s="65" t="str">
        <f>IF(NOT(ISNA(NPS_Data[[#This Row],[CreatedDateTime]])),
   YEAR(NPS_Data[[#This Row],[CreatedDateTime]]) &amp; "-" &amp; TEXT(WEEKNUM(NPS_Data[[#This Row],[CreatedDateTime]],2),"00"),
   "")</f>
        <v>2025-33</v>
      </c>
      <c r="AC54" s="14" t="str">
        <f>IF(NOT(ISNA(NPS_Data[[#This Row],[CreatedDateTime]])), TEXT(NPS_Data[[#This Row],[CreatedDateTime]],"YYYY-MM"), "")</f>
        <v>2025-08</v>
      </c>
      <c r="AD54" s="14" t="str">
        <f>IF(NOT(ISNUMBER(NPS_Data[[#This Row],[ResolutionHours]])),"Open", IF(NPS_Data[[#This Row],[ResolutionHours]]&gt;72,"Breach","OK"))</f>
        <v>OK</v>
      </c>
      <c r="AE54" s="14">
        <f>IF(AND(ISNUMBER(NPS_Data[[#This Row],[CreatedDateTime]]), ISNUMBER(NPS_Data[[#This Row],[ResolvedDateTime]])), 1, 0)</f>
        <v>0</v>
      </c>
      <c r="AF54" s="48" t="str">
        <f>IF(NOT(ISNA(NPS_Data[[#This Row],[CreatedDateTime]])), TEXT(NPS_Data[[#This Row],[CreatedDateTime]],"dddd"), "")</f>
        <v>Sunday</v>
      </c>
    </row>
    <row r="55" spans="1:32" x14ac:dyDescent="0.25">
      <c r="A55" s="2" t="s">
        <v>384</v>
      </c>
      <c r="B55" s="2" t="s">
        <v>127</v>
      </c>
      <c r="C55" s="2" t="s">
        <v>385</v>
      </c>
      <c r="D5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45878.605983796297</v>
      </c>
      <c r="E55" s="2" t="s">
        <v>20</v>
      </c>
      <c r="F55" s="2" t="s">
        <v>366</v>
      </c>
      <c r="G55" s="2" t="s">
        <v>386</v>
      </c>
      <c r="H55"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45887.44935185185</v>
      </c>
      <c r="I55" s="2" t="s">
        <v>23</v>
      </c>
      <c r="J55" s="2" t="s">
        <v>23</v>
      </c>
      <c r="K55" s="2" t="s">
        <v>88</v>
      </c>
      <c r="L55" s="2" t="s">
        <v>387</v>
      </c>
      <c r="M55" s="2" t="s">
        <v>388</v>
      </c>
      <c r="N55" s="2" t="s">
        <v>389</v>
      </c>
      <c r="O55" s="2" t="s">
        <v>41</v>
      </c>
      <c r="P55" s="2" t="s">
        <v>92</v>
      </c>
      <c r="Q55" s="3">
        <v>2</v>
      </c>
      <c r="R55" s="2" t="s">
        <v>30</v>
      </c>
      <c r="S55" s="2" t="s">
        <v>31</v>
      </c>
      <c r="T55" s="2" t="str">
        <f>IF(OR(NPS_Data[[#This Row],[CreatedDateTime]]="",NPS_Data[[#This Row],[Assigned To]]="",NPS_Data[[#This Row],[Issue 2 - NPS]]="",NPS_Data[[#This Row],[Program Name]]=""),"Missing","OK")</f>
        <v>OK</v>
      </c>
      <c r="U55" s="2" t="str">
        <f>IF(
  AND(NPS_Data[[#This Row],[Status]]="Complete", OR(ISNA(NPS_Data[[#This Row],[ResolvedDateTime]]), ISBLANK(NPS_Data[[#This Row],[ResolvedDateTime]]))),
  "CompleteNoResolved",
  IF(
    AND(NPS_Data[[#This Row],[Status]]="Pending", NPS_Data[[#This Row],[Sub Status]]="Solved"),
    "PendingButSolved",
    "OK"
  )
)</f>
        <v>OK</v>
      </c>
      <c r="V5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55" s="2" t="str">
        <f>IFERROR(TRIM(CLEAN(NPS_Data[[#This Row],[Ticket All Remarks]])),"")</f>
        <v>Confused between Data Science and Machine Learning Engineer paths. Course covers both but unclear about day-to-day responsibilities and career progression in each field. || Resolution: Arranged informational interviews with professionals in both roles</v>
      </c>
      <c r="X55" s="2" cm="1">
        <f t="array" aca="1" ref="X55" ca="1">IF(NPS_Data[[#This Row],[CleanRemark]]="","",
   SUMPRODUCT(CODE(MID(NPS_Data[[#This Row],[CleanRemark]],ROW(INDIRECT("1:"&amp;LEN(NPS_Data[[#This Row],[CleanRemark]]))),1))))</f>
        <v>23965</v>
      </c>
      <c r="Y55" s="2" t="str">
        <f>IF(COUNTIF(NPS_Data[Ticket No],NPS_Data[[#This Row],[Ticket No]])&gt;1,"Duplicate","OK")</f>
        <v>OK</v>
      </c>
      <c r="Z55" s="2" t="str">
        <f ca="1">IF(NPS_Data[[#This Row],[RemarkHash]]="","OK",
   IF(COUNTIF(NPS_Data[RemarkHash],NPS_Data[[#This Row],[RemarkHash]])&gt;1,"RepeatedRemark","OK"))</f>
        <v>RepeatedRemark</v>
      </c>
      <c r="AA55" s="17">
        <f>IF( AND( ISNUMBER(NPS_Data[[#This Row],[CreatedDateTime]]), ISNUMBER(NPS_Data[[#This Row],[ResolvedDateTime]]) ), (NPS_Data[[#This Row],[ResolvedDateTime]] - NPS_Data[[#This Row],[CreatedDateTime]]) * 24, 0 )</f>
        <v>212.24083333328599</v>
      </c>
      <c r="AB55" s="65" t="str">
        <f>IF(NOT(ISNA(NPS_Data[[#This Row],[CreatedDateTime]])),
   YEAR(NPS_Data[[#This Row],[CreatedDateTime]]) &amp; "-" &amp; TEXT(WEEKNUM(NPS_Data[[#This Row],[CreatedDateTime]],2),"00"),
   "")</f>
        <v>2025-32</v>
      </c>
      <c r="AC55" s="14" t="str">
        <f>IF(NOT(ISNA(NPS_Data[[#This Row],[CreatedDateTime]])), TEXT(NPS_Data[[#This Row],[CreatedDateTime]],"YYYY-MM"), "")</f>
        <v>2025-08</v>
      </c>
      <c r="AD55" s="14" t="str">
        <f>IF(NOT(ISNUMBER(NPS_Data[[#This Row],[ResolutionHours]])),"Open", IF(NPS_Data[[#This Row],[ResolutionHours]]&gt;72,"Breach","OK"))</f>
        <v>Breach</v>
      </c>
      <c r="AE55" s="14">
        <f>IF(AND(ISNUMBER(NPS_Data[[#This Row],[CreatedDateTime]]), ISNUMBER(NPS_Data[[#This Row],[ResolvedDateTime]])), 1, 0)</f>
        <v>1</v>
      </c>
      <c r="AF55" s="48" t="str">
        <f>IF(NOT(ISNA(NPS_Data[[#This Row],[CreatedDateTime]])), TEXT(NPS_Data[[#This Row],[CreatedDateTime]],"dddd"), "")</f>
        <v>Saturday</v>
      </c>
    </row>
    <row r="56" spans="1:32" x14ac:dyDescent="0.25">
      <c r="A56" s="2" t="s">
        <v>390</v>
      </c>
      <c r="B56" s="2" t="s">
        <v>372</v>
      </c>
      <c r="C56" s="2" t="s">
        <v>391</v>
      </c>
      <c r="D5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45920.792395833334</v>
      </c>
      <c r="E56" s="2" t="s">
        <v>87</v>
      </c>
      <c r="H56"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56" s="2" t="s">
        <v>23</v>
      </c>
      <c r="J56" s="2" t="s">
        <v>23</v>
      </c>
      <c r="K56" s="2" t="s">
        <v>88</v>
      </c>
      <c r="L56" s="2" t="s">
        <v>392</v>
      </c>
      <c r="M56" s="2" t="s">
        <v>393</v>
      </c>
      <c r="N56" s="2" t="s">
        <v>394</v>
      </c>
      <c r="O56" s="2" t="s">
        <v>48</v>
      </c>
      <c r="P56" s="2" t="s">
        <v>189</v>
      </c>
      <c r="Q56" s="3">
        <v>4</v>
      </c>
      <c r="R56" s="2" t="s">
        <v>49</v>
      </c>
      <c r="S56" s="2" t="s">
        <v>50</v>
      </c>
      <c r="T56" s="2" t="str">
        <f>IF(OR(NPS_Data[[#This Row],[CreatedDateTime]]="",NPS_Data[[#This Row],[Assigned To]]="",NPS_Data[[#This Row],[Issue 2 - NPS]]="",NPS_Data[[#This Row],[Program Name]]=""),"Missing","OK")</f>
        <v>OK</v>
      </c>
      <c r="U56" s="2" t="str">
        <f>IF(
  AND(NPS_Data[[#This Row],[Status]]="Complete", OR(ISNA(NPS_Data[[#This Row],[ResolvedDateTime]]), ISBLANK(NPS_Data[[#This Row],[ResolvedDateTime]]))),
  "CompleteNoResolved",
  IF(
    AND(NPS_Data[[#This Row],[Status]]="Pending", NPS_Data[[#This Row],[Sub Status]]="Solved"),
    "PendingButSolved",
    "OK"
  )
)</f>
        <v>OK</v>
      </c>
      <c r="V5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56" s="2" t="str">
        <f>IFERROR(TRIM(CLEAN(NPS_Data[[#This Row],[Ticket All Remarks]])),"")</f>
        <v>Interview performance good but companies prefer candidates with production experience. Theoretical knowledge not translating to confidence in interviews. || Resolution: Created mock production environment projects for hands-on experience</v>
      </c>
      <c r="X56" s="2" cm="1">
        <f t="array" aca="1" ref="X56" ca="1">IF(NPS_Data[[#This Row],[CleanRemark]]="","",
   SUMPRODUCT(CODE(MID(NPS_Data[[#This Row],[CleanRemark]],ROW(INDIRECT("1:"&amp;LEN(NPS_Data[[#This Row],[CleanRemark]]))),1))))</f>
        <v>23158</v>
      </c>
      <c r="Y56" s="2" t="str">
        <f>IF(COUNTIF(NPS_Data[Ticket No],NPS_Data[[#This Row],[Ticket No]])&gt;1,"Duplicate","OK")</f>
        <v>OK</v>
      </c>
      <c r="Z56" s="2" t="str">
        <f ca="1">IF(NPS_Data[[#This Row],[RemarkHash]]="","OK",
   IF(COUNTIF(NPS_Data[RemarkHash],NPS_Data[[#This Row],[RemarkHash]])&gt;1,"RepeatedRemark","OK"))</f>
        <v>OK</v>
      </c>
      <c r="AA56" s="17">
        <f>IF( AND( ISNUMBER(NPS_Data[[#This Row],[CreatedDateTime]]), ISNUMBER(NPS_Data[[#This Row],[ResolvedDateTime]]) ), (NPS_Data[[#This Row],[ResolvedDateTime]] - NPS_Data[[#This Row],[CreatedDateTime]]) * 24, 0 )</f>
        <v>0</v>
      </c>
      <c r="AB56" s="65" t="str">
        <f>IF(NOT(ISNA(NPS_Data[[#This Row],[CreatedDateTime]])),
   YEAR(NPS_Data[[#This Row],[CreatedDateTime]]) &amp; "-" &amp; TEXT(WEEKNUM(NPS_Data[[#This Row],[CreatedDateTime]],2),"00"),
   "")</f>
        <v>2025-38</v>
      </c>
      <c r="AC56" s="14" t="str">
        <f>IF(NOT(ISNA(NPS_Data[[#This Row],[CreatedDateTime]])), TEXT(NPS_Data[[#This Row],[CreatedDateTime]],"YYYY-MM"), "")</f>
        <v>2025-09</v>
      </c>
      <c r="AD56" s="14" t="str">
        <f>IF(NOT(ISNUMBER(NPS_Data[[#This Row],[ResolutionHours]])),"Open", IF(NPS_Data[[#This Row],[ResolutionHours]]&gt;72,"Breach","OK"))</f>
        <v>OK</v>
      </c>
      <c r="AE56" s="14">
        <f>IF(AND(ISNUMBER(NPS_Data[[#This Row],[CreatedDateTime]]), ISNUMBER(NPS_Data[[#This Row],[ResolvedDateTime]])), 1, 0)</f>
        <v>0</v>
      </c>
      <c r="AF56" s="48" t="str">
        <f>IF(NOT(ISNA(NPS_Data[[#This Row],[CreatedDateTime]])), TEXT(NPS_Data[[#This Row],[CreatedDateTime]],"dddd"), "")</f>
        <v>Saturday</v>
      </c>
    </row>
    <row r="57" spans="1:32" x14ac:dyDescent="0.25">
      <c r="A57" s="2" t="s">
        <v>395</v>
      </c>
      <c r="B57" s="2" t="s">
        <v>396</v>
      </c>
      <c r="C57" s="2" t="s">
        <v>397</v>
      </c>
      <c r="D5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45874.569212962961</v>
      </c>
      <c r="E57" s="2" t="s">
        <v>113</v>
      </c>
      <c r="H57"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57" s="2" t="s">
        <v>23</v>
      </c>
      <c r="J57" s="2" t="s">
        <v>23</v>
      </c>
      <c r="K57" s="2" t="s">
        <v>38</v>
      </c>
      <c r="L57" s="2" t="s">
        <v>398</v>
      </c>
      <c r="M57" s="2" t="s">
        <v>399</v>
      </c>
      <c r="N57" s="2" t="s">
        <v>47</v>
      </c>
      <c r="O57" s="2" t="s">
        <v>177</v>
      </c>
      <c r="P57" s="2" t="s">
        <v>29</v>
      </c>
      <c r="Q57" s="3">
        <v>3</v>
      </c>
      <c r="R57" s="2" t="s">
        <v>49</v>
      </c>
      <c r="S57" s="2" t="s">
        <v>116</v>
      </c>
      <c r="T57" s="2" t="str">
        <f>IF(OR(NPS_Data[[#This Row],[CreatedDateTime]]="",NPS_Data[[#This Row],[Assigned To]]="",NPS_Data[[#This Row],[Issue 2 - NPS]]="",NPS_Data[[#This Row],[Program Name]]=""),"Missing","OK")</f>
        <v>OK</v>
      </c>
      <c r="U57" s="2" t="str">
        <f>IF(
  AND(NPS_Data[[#This Row],[Status]]="Complete", OR(ISNA(NPS_Data[[#This Row],[ResolvedDateTime]]), ISBLANK(NPS_Data[[#This Row],[ResolvedDateTime]]))),
  "CompleteNoResolved",
  IF(
    AND(NPS_Data[[#This Row],[Status]]="Pending", NPS_Data[[#This Row],[Sub Status]]="Solved"),
    "PendingButSolved",
    "OK"
  )
)</f>
        <v>OK</v>
      </c>
      <c r="V5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57" s="2" t="str">
        <f>IFERROR(TRIM(CLEAN(NPS_Data[[#This Row],[Ticket All Remarks]])),"")</f>
        <v>Assignment datasets have data quality issues but no guidance on how to handle missing values, outliers, or inconsistent formats professionally. || Resolution: Created data cleaning tutorial series and best practices documentation</v>
      </c>
      <c r="X57" s="2" cm="1">
        <f t="array" aca="1" ref="X57" ca="1">IF(NPS_Data[[#This Row],[CleanRemark]]="","",
   SUMPRODUCT(CODE(MID(NPS_Data[[#This Row],[CleanRemark]],ROW(INDIRECT("1:"&amp;LEN(NPS_Data[[#This Row],[CleanRemark]]))),1))))</f>
        <v>22151</v>
      </c>
      <c r="Y57" s="2" t="str">
        <f>IF(COUNTIF(NPS_Data[Ticket No],NPS_Data[[#This Row],[Ticket No]])&gt;1,"Duplicate","OK")</f>
        <v>OK</v>
      </c>
      <c r="Z57" s="2" t="str">
        <f ca="1">IF(NPS_Data[[#This Row],[RemarkHash]]="","OK",
   IF(COUNTIF(NPS_Data[RemarkHash],NPS_Data[[#This Row],[RemarkHash]])&gt;1,"RepeatedRemark","OK"))</f>
        <v>RepeatedRemark</v>
      </c>
      <c r="AA57" s="17">
        <f>IF( AND( ISNUMBER(NPS_Data[[#This Row],[CreatedDateTime]]), ISNUMBER(NPS_Data[[#This Row],[ResolvedDateTime]]) ), (NPS_Data[[#This Row],[ResolvedDateTime]] - NPS_Data[[#This Row],[CreatedDateTime]]) * 24, 0 )</f>
        <v>0</v>
      </c>
      <c r="AB57" s="65" t="str">
        <f>IF(NOT(ISNA(NPS_Data[[#This Row],[CreatedDateTime]])),
   YEAR(NPS_Data[[#This Row],[CreatedDateTime]]) &amp; "-" &amp; TEXT(WEEKNUM(NPS_Data[[#This Row],[CreatedDateTime]],2),"00"),
   "")</f>
        <v>2025-32</v>
      </c>
      <c r="AC57" s="14" t="str">
        <f>IF(NOT(ISNA(NPS_Data[[#This Row],[CreatedDateTime]])), TEXT(NPS_Data[[#This Row],[CreatedDateTime]],"YYYY-MM"), "")</f>
        <v>2025-08</v>
      </c>
      <c r="AD57" s="14" t="str">
        <f>IF(NOT(ISNUMBER(NPS_Data[[#This Row],[ResolutionHours]])),"Open", IF(NPS_Data[[#This Row],[ResolutionHours]]&gt;72,"Breach","OK"))</f>
        <v>OK</v>
      </c>
      <c r="AE57" s="14">
        <f>IF(AND(ISNUMBER(NPS_Data[[#This Row],[CreatedDateTime]]), ISNUMBER(NPS_Data[[#This Row],[ResolvedDateTime]])), 1, 0)</f>
        <v>0</v>
      </c>
      <c r="AF57" s="48" t="str">
        <f>IF(NOT(ISNA(NPS_Data[[#This Row],[CreatedDateTime]])), TEXT(NPS_Data[[#This Row],[CreatedDateTime]],"dddd"), "")</f>
        <v>Tuesday</v>
      </c>
    </row>
    <row r="58" spans="1:32" x14ac:dyDescent="0.25">
      <c r="A58" s="2" t="s">
        <v>400</v>
      </c>
      <c r="B58" s="2" t="s">
        <v>21</v>
      </c>
      <c r="C58" s="2" t="s">
        <v>401</v>
      </c>
      <c r="D5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45899.871678240743</v>
      </c>
      <c r="E58" s="2" t="s">
        <v>104</v>
      </c>
      <c r="F58" s="2" t="s">
        <v>96</v>
      </c>
      <c r="G58" s="2" t="s">
        <v>402</v>
      </c>
      <c r="H58"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45906.451898148145</v>
      </c>
      <c r="I58" s="2" t="s">
        <v>23</v>
      </c>
      <c r="J58" s="2" t="s">
        <v>23</v>
      </c>
      <c r="K58" s="2" t="s">
        <v>38</v>
      </c>
      <c r="L58" s="2" t="s">
        <v>403</v>
      </c>
      <c r="M58" s="2" t="s">
        <v>404</v>
      </c>
      <c r="N58" s="2" t="s">
        <v>405</v>
      </c>
      <c r="O58" s="2" t="s">
        <v>28</v>
      </c>
      <c r="P58" s="2" t="s">
        <v>158</v>
      </c>
      <c r="Q58" s="3">
        <v>1</v>
      </c>
      <c r="R58" s="2" t="s">
        <v>30</v>
      </c>
      <c r="S58" s="2" t="s">
        <v>31</v>
      </c>
      <c r="T58" s="2" t="str">
        <f>IF(OR(NPS_Data[[#This Row],[CreatedDateTime]]="",NPS_Data[[#This Row],[Assigned To]]="",NPS_Data[[#This Row],[Issue 2 - NPS]]="",NPS_Data[[#This Row],[Program Name]]=""),"Missing","OK")</f>
        <v>OK</v>
      </c>
      <c r="U58" s="2" t="str">
        <f>IF(
  AND(NPS_Data[[#This Row],[Status]]="Complete", OR(ISNA(NPS_Data[[#This Row],[ResolvedDateTime]]), ISBLANK(NPS_Data[[#This Row],[ResolvedDateTime]]))),
  "CompleteNoResolved",
  IF(
    AND(NPS_Data[[#This Row],[Status]]="Pending", NPS_Data[[#This Row],[Sub Status]]="Solved"),
    "PendingButSolved",
    "OK"
  )
)</f>
        <v>OK</v>
      </c>
      <c r="V5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58" s="2" t="str">
        <f>IFERROR(TRIM(CLEAN(NPS_Data[[#This Row],[Ticket All Remarks]])),"")</f>
        <v>Evening DevOps Jul25 starts at 7 PM when dinner time with family. Work-life balance getting affected due to late learning schedule. || Resolution: Introduced early evening slots (6-8 PM) based on demand</v>
      </c>
      <c r="X58" s="2" cm="1">
        <f t="array" aca="1" ref="X58" ca="1">IF(NPS_Data[[#This Row],[CleanRemark]]="","",
   SUMPRODUCT(CODE(MID(NPS_Data[[#This Row],[CleanRemark]],ROW(INDIRECT("1:"&amp;LEN(NPS_Data[[#This Row],[CleanRemark]]))),1))))</f>
        <v>18325</v>
      </c>
      <c r="Y58" s="2" t="str">
        <f>IF(COUNTIF(NPS_Data[Ticket No],NPS_Data[[#This Row],[Ticket No]])&gt;1,"Duplicate","OK")</f>
        <v>OK</v>
      </c>
      <c r="Z58" s="2" t="str">
        <f ca="1">IF(NPS_Data[[#This Row],[RemarkHash]]="","OK",
   IF(COUNTIF(NPS_Data[RemarkHash],NPS_Data[[#This Row],[RemarkHash]])&gt;1,"RepeatedRemark","OK"))</f>
        <v>OK</v>
      </c>
      <c r="AA58" s="17">
        <f>IF( AND( ISNUMBER(NPS_Data[[#This Row],[CreatedDateTime]]), ISNUMBER(NPS_Data[[#This Row],[ResolvedDateTime]]) ), (NPS_Data[[#This Row],[ResolvedDateTime]] - NPS_Data[[#This Row],[CreatedDateTime]]) * 24, 0 )</f>
        <v>157.92527777765645</v>
      </c>
      <c r="AB58" s="65" t="str">
        <f>IF(NOT(ISNA(NPS_Data[[#This Row],[CreatedDateTime]])),
   YEAR(NPS_Data[[#This Row],[CreatedDateTime]]) &amp; "-" &amp; TEXT(WEEKNUM(NPS_Data[[#This Row],[CreatedDateTime]],2),"00"),
   "")</f>
        <v>2025-35</v>
      </c>
      <c r="AC58" s="14" t="str">
        <f>IF(NOT(ISNA(NPS_Data[[#This Row],[CreatedDateTime]])), TEXT(NPS_Data[[#This Row],[CreatedDateTime]],"YYYY-MM"), "")</f>
        <v>2025-08</v>
      </c>
      <c r="AD58" s="14" t="str">
        <f>IF(NOT(ISNUMBER(NPS_Data[[#This Row],[ResolutionHours]])),"Open", IF(NPS_Data[[#This Row],[ResolutionHours]]&gt;72,"Breach","OK"))</f>
        <v>Breach</v>
      </c>
      <c r="AE58" s="14">
        <f>IF(AND(ISNUMBER(NPS_Data[[#This Row],[CreatedDateTime]]), ISNUMBER(NPS_Data[[#This Row],[ResolvedDateTime]])), 1, 0)</f>
        <v>1</v>
      </c>
      <c r="AF58" s="48" t="str">
        <f>IF(NOT(ISNA(NPS_Data[[#This Row],[CreatedDateTime]])), TEXT(NPS_Data[[#This Row],[CreatedDateTime]],"dddd"), "")</f>
        <v>Saturday</v>
      </c>
    </row>
    <row r="59" spans="1:32" x14ac:dyDescent="0.25">
      <c r="A59" s="2" t="s">
        <v>406</v>
      </c>
      <c r="B59" s="2" t="s">
        <v>143</v>
      </c>
      <c r="C59" s="2" t="s">
        <v>407</v>
      </c>
      <c r="D5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45896.832986111112</v>
      </c>
      <c r="E59" s="2" t="s">
        <v>20</v>
      </c>
      <c r="F59" s="2" t="s">
        <v>33</v>
      </c>
      <c r="G59" s="2" t="s">
        <v>408</v>
      </c>
      <c r="H59"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45902.639374999999</v>
      </c>
      <c r="I59" s="2" t="s">
        <v>23</v>
      </c>
      <c r="J59" s="2" t="s">
        <v>23</v>
      </c>
      <c r="K59" s="2" t="s">
        <v>24</v>
      </c>
      <c r="L59" s="2" t="s">
        <v>409</v>
      </c>
      <c r="M59" s="2" t="s">
        <v>410</v>
      </c>
      <c r="N59" s="2" t="s">
        <v>411</v>
      </c>
      <c r="O59" s="2" t="s">
        <v>48</v>
      </c>
      <c r="P59" s="2" t="s">
        <v>216</v>
      </c>
      <c r="Q59" s="3">
        <v>5</v>
      </c>
      <c r="R59" s="2" t="s">
        <v>30</v>
      </c>
      <c r="S59" s="2" t="s">
        <v>31</v>
      </c>
      <c r="T59" s="2" t="str">
        <f>IF(OR(NPS_Data[[#This Row],[CreatedDateTime]]="",NPS_Data[[#This Row],[Assigned To]]="",NPS_Data[[#This Row],[Issue 2 - NPS]]="",NPS_Data[[#This Row],[Program Name]]=""),"Missing","OK")</f>
        <v>OK</v>
      </c>
      <c r="U59" s="2" t="str">
        <f>IF(
  AND(NPS_Data[[#This Row],[Status]]="Complete", OR(ISNA(NPS_Data[[#This Row],[ResolvedDateTime]]), ISBLANK(NPS_Data[[#This Row],[ResolvedDateTime]]))),
  "CompleteNoResolved",
  IF(
    AND(NPS_Data[[#This Row],[Status]]="Pending", NPS_Data[[#This Row],[Sub Status]]="Solved"),
    "PendingButSolved",
    "OK"
  )
)</f>
        <v>OK</v>
      </c>
      <c r="V5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59" s="2" t="str">
        <f>IFERROR(TRIM(CLEAN(NPS_Data[[#This Row],[Ticket All Remarks]])),"")</f>
        <v>Resume feedback too generic. Mentor suggests 'add more projects' without specific guidance on what types of projects or how to showcase impact. || Resolution: Provided mentor training on detailed resume optimization techniques</v>
      </c>
      <c r="X59" s="2" cm="1">
        <f t="array" aca="1" ref="X59" ca="1">IF(NPS_Data[[#This Row],[CleanRemark]]="","",
   SUMPRODUCT(CODE(MID(NPS_Data[[#This Row],[CleanRemark]],ROW(INDIRECT("1:"&amp;LEN(NPS_Data[[#This Row],[CleanRemark]]))),1))))</f>
        <v>21673</v>
      </c>
      <c r="Y59" s="2" t="str">
        <f>IF(COUNTIF(NPS_Data[Ticket No],NPS_Data[[#This Row],[Ticket No]])&gt;1,"Duplicate","OK")</f>
        <v>OK</v>
      </c>
      <c r="Z59" s="2" t="str">
        <f ca="1">IF(NPS_Data[[#This Row],[RemarkHash]]="","OK",
   IF(COUNTIF(NPS_Data[RemarkHash],NPS_Data[[#This Row],[RemarkHash]])&gt;1,"RepeatedRemark","OK"))</f>
        <v>RepeatedRemark</v>
      </c>
      <c r="AA59" s="17">
        <f>IF( AND( ISNUMBER(NPS_Data[[#This Row],[CreatedDateTime]]), ISNUMBER(NPS_Data[[#This Row],[ResolvedDateTime]]) ), (NPS_Data[[#This Row],[ResolvedDateTime]] - NPS_Data[[#This Row],[CreatedDateTime]]) * 24, 0 )</f>
        <v>139.35333333327435</v>
      </c>
      <c r="AB59" s="65" t="str">
        <f>IF(NOT(ISNA(NPS_Data[[#This Row],[CreatedDateTime]])),
   YEAR(NPS_Data[[#This Row],[CreatedDateTime]]) &amp; "-" &amp; TEXT(WEEKNUM(NPS_Data[[#This Row],[CreatedDateTime]],2),"00"),
   "")</f>
        <v>2025-35</v>
      </c>
      <c r="AC59" s="14" t="str">
        <f>IF(NOT(ISNA(NPS_Data[[#This Row],[CreatedDateTime]])), TEXT(NPS_Data[[#This Row],[CreatedDateTime]],"YYYY-MM"), "")</f>
        <v>2025-08</v>
      </c>
      <c r="AD59" s="14" t="str">
        <f>IF(NOT(ISNUMBER(NPS_Data[[#This Row],[ResolutionHours]])),"Open", IF(NPS_Data[[#This Row],[ResolutionHours]]&gt;72,"Breach","OK"))</f>
        <v>Breach</v>
      </c>
      <c r="AE59" s="14">
        <f>IF(AND(ISNUMBER(NPS_Data[[#This Row],[CreatedDateTime]]), ISNUMBER(NPS_Data[[#This Row],[ResolvedDateTime]])), 1, 0)</f>
        <v>1</v>
      </c>
      <c r="AF59" s="48" t="str">
        <f>IF(NOT(ISNA(NPS_Data[[#This Row],[CreatedDateTime]])), TEXT(NPS_Data[[#This Row],[CreatedDateTime]],"dddd"), "")</f>
        <v>Wednesday</v>
      </c>
    </row>
    <row r="60" spans="1:32" x14ac:dyDescent="0.25">
      <c r="A60" s="2" t="s">
        <v>412</v>
      </c>
      <c r="B60" s="2" t="s">
        <v>413</v>
      </c>
      <c r="C60" s="2" t="s">
        <v>414</v>
      </c>
      <c r="D6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45917.640914351854</v>
      </c>
      <c r="E60" s="2" t="s">
        <v>104</v>
      </c>
      <c r="F60" s="2" t="s">
        <v>372</v>
      </c>
      <c r="G60" s="2" t="s">
        <v>415</v>
      </c>
      <c r="H60"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45920.710844907408</v>
      </c>
      <c r="I60" s="2" t="s">
        <v>23</v>
      </c>
      <c r="J60" s="2" t="s">
        <v>23</v>
      </c>
      <c r="K60" s="2" t="s">
        <v>38</v>
      </c>
      <c r="L60" s="2" t="s">
        <v>416</v>
      </c>
      <c r="M60" s="2" t="s">
        <v>417</v>
      </c>
      <c r="N60" s="2" t="s">
        <v>297</v>
      </c>
      <c r="O60" s="2" t="s">
        <v>48</v>
      </c>
      <c r="P60" s="2" t="s">
        <v>285</v>
      </c>
      <c r="Q60" s="3">
        <v>6</v>
      </c>
      <c r="R60" s="2" t="s">
        <v>30</v>
      </c>
      <c r="S60" s="2" t="s">
        <v>31</v>
      </c>
      <c r="T60" s="2" t="str">
        <f>IF(OR(NPS_Data[[#This Row],[CreatedDateTime]]="",NPS_Data[[#This Row],[Assigned To]]="",NPS_Data[[#This Row],[Issue 2 - NPS]]="",NPS_Data[[#This Row],[Program Name]]=""),"Missing","OK")</f>
        <v>OK</v>
      </c>
      <c r="U60" s="2" t="str">
        <f>IF(
  AND(NPS_Data[[#This Row],[Status]]="Complete", OR(ISNA(NPS_Data[[#This Row],[ResolvedDateTime]]), ISBLANK(NPS_Data[[#This Row],[ResolvedDateTime]]))),
  "CompleteNoResolved",
  IF(
    AND(NPS_Data[[#This Row],[Status]]="Pending", NPS_Data[[#This Row],[Sub Status]]="Solved"),
    "PendingButSolved",
    "OK"
  )
)</f>
        <v>OK</v>
      </c>
      <c r="V6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60" s="2" t="str">
        <f>IFERROR(TRIM(CLEAN(NPS_Data[[#This Row],[Ticket All Remarks]])),"")</f>
        <v>No downloadable notes provided for complex topics. Difficult to review mathematical formulas and algorithms without written reference material. || Resolution: Created comprehensive downloadable study guides for all modules</v>
      </c>
      <c r="X60" s="2" cm="1">
        <f t="array" aca="1" ref="X60" ca="1">IF(NPS_Data[[#This Row],[CleanRemark]]="","",
   SUMPRODUCT(CODE(MID(NPS_Data[[#This Row],[CleanRemark]],ROW(INDIRECT("1:"&amp;LEN(NPS_Data[[#This Row],[CleanRemark]]))),1))))</f>
        <v>21599</v>
      </c>
      <c r="Y60" s="2" t="str">
        <f>IF(COUNTIF(NPS_Data[Ticket No],NPS_Data[[#This Row],[Ticket No]])&gt;1,"Duplicate","OK")</f>
        <v>OK</v>
      </c>
      <c r="Z60" s="2" t="str">
        <f ca="1">IF(NPS_Data[[#This Row],[RemarkHash]]="","OK",
   IF(COUNTIF(NPS_Data[RemarkHash],NPS_Data[[#This Row],[RemarkHash]])&gt;1,"RepeatedRemark","OK"))</f>
        <v>RepeatedRemark</v>
      </c>
      <c r="AA60" s="17">
        <f>IF( AND( ISNUMBER(NPS_Data[[#This Row],[CreatedDateTime]]), ISNUMBER(NPS_Data[[#This Row],[ResolvedDateTime]]) ), (NPS_Data[[#This Row],[ResolvedDateTime]] - NPS_Data[[#This Row],[CreatedDateTime]]) * 24, 0 )</f>
        <v>73.678333333285991</v>
      </c>
      <c r="AB60" s="65" t="str">
        <f>IF(NOT(ISNA(NPS_Data[[#This Row],[CreatedDateTime]])),
   YEAR(NPS_Data[[#This Row],[CreatedDateTime]]) &amp; "-" &amp; TEXT(WEEKNUM(NPS_Data[[#This Row],[CreatedDateTime]],2),"00"),
   "")</f>
        <v>2025-38</v>
      </c>
      <c r="AC60" s="14" t="str">
        <f>IF(NOT(ISNA(NPS_Data[[#This Row],[CreatedDateTime]])), TEXT(NPS_Data[[#This Row],[CreatedDateTime]],"YYYY-MM"), "")</f>
        <v>2025-09</v>
      </c>
      <c r="AD60" s="14" t="str">
        <f>IF(NOT(ISNUMBER(NPS_Data[[#This Row],[ResolutionHours]])),"Open", IF(NPS_Data[[#This Row],[ResolutionHours]]&gt;72,"Breach","OK"))</f>
        <v>Breach</v>
      </c>
      <c r="AE60" s="14">
        <f>IF(AND(ISNUMBER(NPS_Data[[#This Row],[CreatedDateTime]]), ISNUMBER(NPS_Data[[#This Row],[ResolvedDateTime]])), 1, 0)</f>
        <v>1</v>
      </c>
      <c r="AF60" s="48" t="str">
        <f>IF(NOT(ISNA(NPS_Data[[#This Row],[CreatedDateTime]])), TEXT(NPS_Data[[#This Row],[CreatedDateTime]],"dddd"), "")</f>
        <v>Wednesday</v>
      </c>
    </row>
    <row r="61" spans="1:32" x14ac:dyDescent="0.25">
      <c r="A61" s="2" t="s">
        <v>418</v>
      </c>
      <c r="B61" s="2" t="s">
        <v>33</v>
      </c>
      <c r="C61" s="2" t="s">
        <v>419</v>
      </c>
      <c r="D6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45902.724386574075</v>
      </c>
      <c r="E61" s="2" t="s">
        <v>44</v>
      </c>
      <c r="F61" s="2" t="s">
        <v>52</v>
      </c>
      <c r="G61" s="2" t="s">
        <v>420</v>
      </c>
      <c r="H61"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45913.67701388889</v>
      </c>
      <c r="I61" s="2" t="s">
        <v>23</v>
      </c>
      <c r="J61" s="2" t="s">
        <v>23</v>
      </c>
      <c r="K61" s="2" t="s">
        <v>88</v>
      </c>
      <c r="L61" s="2" t="s">
        <v>421</v>
      </c>
      <c r="M61" s="2" t="s">
        <v>422</v>
      </c>
      <c r="N61" s="2" t="s">
        <v>423</v>
      </c>
      <c r="O61" s="2" t="s">
        <v>28</v>
      </c>
      <c r="P61" s="2" t="s">
        <v>242</v>
      </c>
      <c r="Q61" s="3">
        <v>7</v>
      </c>
      <c r="R61" s="2" t="s">
        <v>30</v>
      </c>
      <c r="S61" s="2" t="s">
        <v>31</v>
      </c>
      <c r="T61" s="2" t="str">
        <f>IF(OR(NPS_Data[[#This Row],[CreatedDateTime]]="",NPS_Data[[#This Row],[Assigned To]]="",NPS_Data[[#This Row],[Issue 2 - NPS]]="",NPS_Data[[#This Row],[Program Name]]=""),"Missing","OK")</f>
        <v>OK</v>
      </c>
      <c r="U61" s="2" t="str">
        <f>IF(
  AND(NPS_Data[[#This Row],[Status]]="Complete", OR(ISNA(NPS_Data[[#This Row],[ResolvedDateTime]]), ISBLANK(NPS_Data[[#This Row],[ResolvedDateTime]]))),
  "CompleteNoResolved",
  IF(
    AND(NPS_Data[[#This Row],[Status]]="Pending", NPS_Data[[#This Row],[Sub Status]]="Solved"),
    "PendingButSolved",
    "OK"
  )
)</f>
        <v>OK</v>
      </c>
      <c r="V6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61" s="2" t="str">
        <f>IFERROR(TRIM(CLEAN(NPS_Data[[#This Row],[Ticket All Remarks]])),"")</f>
        <v>Resume format doesn't work for startup applications. Too formal for young companies, but changing format affects ATS performance at large corporations. || Resolution: Created dual resume strategy for different TCS types</v>
      </c>
      <c r="X61" s="2" cm="1">
        <f t="array" aca="1" ref="X61" ca="1">IF(NPS_Data[[#This Row],[CleanRemark]]="","",
   SUMPRODUCT(CODE(MID(NPS_Data[[#This Row],[CleanRemark]],ROW(INDIRECT("1:"&amp;LEN(NPS_Data[[#This Row],[CleanRemark]]))),1))))</f>
        <v>20822</v>
      </c>
      <c r="Y61" s="2" t="str">
        <f>IF(COUNTIF(NPS_Data[Ticket No],NPS_Data[[#This Row],[Ticket No]])&gt;1,"Duplicate","OK")</f>
        <v>OK</v>
      </c>
      <c r="Z61" s="2" t="str">
        <f ca="1">IF(NPS_Data[[#This Row],[RemarkHash]]="","OK",
   IF(COUNTIF(NPS_Data[RemarkHash],NPS_Data[[#This Row],[RemarkHash]])&gt;1,"RepeatedRemark","OK"))</f>
        <v>OK</v>
      </c>
      <c r="AA61" s="17">
        <f>IF( AND( ISNUMBER(NPS_Data[[#This Row],[CreatedDateTime]]), ISNUMBER(NPS_Data[[#This Row],[ResolvedDateTime]]) ), (NPS_Data[[#This Row],[ResolvedDateTime]] - NPS_Data[[#This Row],[CreatedDateTime]]) * 24, 0 )</f>
        <v>262.86305555555737</v>
      </c>
      <c r="AB61" s="65" t="str">
        <f>IF(NOT(ISNA(NPS_Data[[#This Row],[CreatedDateTime]])),
   YEAR(NPS_Data[[#This Row],[CreatedDateTime]]) &amp; "-" &amp; TEXT(WEEKNUM(NPS_Data[[#This Row],[CreatedDateTime]],2),"00"),
   "")</f>
        <v>2025-36</v>
      </c>
      <c r="AC61" s="14" t="str">
        <f>IF(NOT(ISNA(NPS_Data[[#This Row],[CreatedDateTime]])), TEXT(NPS_Data[[#This Row],[CreatedDateTime]],"YYYY-MM"), "")</f>
        <v>2025-09</v>
      </c>
      <c r="AD61" s="14" t="str">
        <f>IF(NOT(ISNUMBER(NPS_Data[[#This Row],[ResolutionHours]])),"Open", IF(NPS_Data[[#This Row],[ResolutionHours]]&gt;72,"Breach","OK"))</f>
        <v>Breach</v>
      </c>
      <c r="AE61" s="14">
        <f>IF(AND(ISNUMBER(NPS_Data[[#This Row],[CreatedDateTime]]), ISNUMBER(NPS_Data[[#This Row],[ResolvedDateTime]])), 1, 0)</f>
        <v>1</v>
      </c>
      <c r="AF61" s="48" t="str">
        <f>IF(NOT(ISNA(NPS_Data[[#This Row],[CreatedDateTime]])), TEXT(NPS_Data[[#This Row],[CreatedDateTime]],"dddd"), "")</f>
        <v>Tuesday</v>
      </c>
    </row>
    <row r="62" spans="1:32" x14ac:dyDescent="0.25">
      <c r="A62" s="2" t="s">
        <v>424</v>
      </c>
      <c r="B62" s="2" t="s">
        <v>280</v>
      </c>
      <c r="C62" s="2" t="s">
        <v>425</v>
      </c>
      <c r="D6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45909.572777777779</v>
      </c>
      <c r="E62" s="2" t="s">
        <v>44</v>
      </c>
      <c r="F62" s="2" t="s">
        <v>211</v>
      </c>
      <c r="G62" s="2" t="s">
        <v>426</v>
      </c>
      <c r="H62"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45918.402071759258</v>
      </c>
      <c r="I62" s="2" t="s">
        <v>23</v>
      </c>
      <c r="J62" s="2" t="s">
        <v>23</v>
      </c>
      <c r="K62" s="2" t="s">
        <v>38</v>
      </c>
      <c r="L62" s="2" t="s">
        <v>427</v>
      </c>
      <c r="M62" s="2" t="s">
        <v>428</v>
      </c>
      <c r="N62" s="2" t="s">
        <v>411</v>
      </c>
      <c r="O62" s="2" t="s">
        <v>48</v>
      </c>
      <c r="P62" s="2" t="s">
        <v>216</v>
      </c>
      <c r="Q62" s="3">
        <v>6</v>
      </c>
      <c r="R62" s="2" t="s">
        <v>30</v>
      </c>
      <c r="S62" s="2" t="s">
        <v>31</v>
      </c>
      <c r="T62" s="2" t="str">
        <f>IF(OR(NPS_Data[[#This Row],[CreatedDateTime]]="",NPS_Data[[#This Row],[Assigned To]]="",NPS_Data[[#This Row],[Issue 2 - NPS]]="",NPS_Data[[#This Row],[Program Name]]=""),"Missing","OK")</f>
        <v>OK</v>
      </c>
      <c r="U62" s="2" t="str">
        <f>IF(
  AND(NPS_Data[[#This Row],[Status]]="Complete", OR(ISNA(NPS_Data[[#This Row],[ResolvedDateTime]]), ISBLANK(NPS_Data[[#This Row],[ResolvedDateTime]]))),
  "CompleteNoResolved",
  IF(
    AND(NPS_Data[[#This Row],[Status]]="Pending", NPS_Data[[#This Row],[Sub Status]]="Solved"),
    "PendingButSolved",
    "OK"
  )
)</f>
        <v>OK</v>
      </c>
      <c r="V6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62" s="2" t="str">
        <f>IFERROR(TRIM(CLEAN(NPS_Data[[#This Row],[Ticket All Remarks]])),"")</f>
        <v>Resume feedback too generic. Mentor suggests 'add more projects' without specific guidance on what types of projects or how to showcase impact. || Resolution: Provided mentor training on detailed resume optimization techniques</v>
      </c>
      <c r="X62" s="2" cm="1">
        <f t="array" aca="1" ref="X62" ca="1">IF(NPS_Data[[#This Row],[CleanRemark]]="","",
   SUMPRODUCT(CODE(MID(NPS_Data[[#This Row],[CleanRemark]],ROW(INDIRECT("1:"&amp;LEN(NPS_Data[[#This Row],[CleanRemark]]))),1))))</f>
        <v>21673</v>
      </c>
      <c r="Y62" s="2" t="str">
        <f>IF(COUNTIF(NPS_Data[Ticket No],NPS_Data[[#This Row],[Ticket No]])&gt;1,"Duplicate","OK")</f>
        <v>OK</v>
      </c>
      <c r="Z62" s="2" t="str">
        <f ca="1">IF(NPS_Data[[#This Row],[RemarkHash]]="","OK",
   IF(COUNTIF(NPS_Data[RemarkHash],NPS_Data[[#This Row],[RemarkHash]])&gt;1,"RepeatedRemark","OK"))</f>
        <v>RepeatedRemark</v>
      </c>
      <c r="AA62" s="17">
        <f>IF( AND( ISNUMBER(NPS_Data[[#This Row],[CreatedDateTime]]), ISNUMBER(NPS_Data[[#This Row],[ResolvedDateTime]]) ), (NPS_Data[[#This Row],[ResolvedDateTime]] - NPS_Data[[#This Row],[CreatedDateTime]]) * 24, 0 )</f>
        <v>211.9030555554782</v>
      </c>
      <c r="AB62" s="65" t="str">
        <f>IF(NOT(ISNA(NPS_Data[[#This Row],[CreatedDateTime]])),
   YEAR(NPS_Data[[#This Row],[CreatedDateTime]]) &amp; "-" &amp; TEXT(WEEKNUM(NPS_Data[[#This Row],[CreatedDateTime]],2),"00"),
   "")</f>
        <v>2025-37</v>
      </c>
      <c r="AC62" s="14" t="str">
        <f>IF(NOT(ISNA(NPS_Data[[#This Row],[CreatedDateTime]])), TEXT(NPS_Data[[#This Row],[CreatedDateTime]],"YYYY-MM"), "")</f>
        <v>2025-09</v>
      </c>
      <c r="AD62" s="14" t="str">
        <f>IF(NOT(ISNUMBER(NPS_Data[[#This Row],[ResolutionHours]])),"Open", IF(NPS_Data[[#This Row],[ResolutionHours]]&gt;72,"Breach","OK"))</f>
        <v>Breach</v>
      </c>
      <c r="AE62" s="14">
        <f>IF(AND(ISNUMBER(NPS_Data[[#This Row],[CreatedDateTime]]), ISNUMBER(NPS_Data[[#This Row],[ResolvedDateTime]])), 1, 0)</f>
        <v>1</v>
      </c>
      <c r="AF62" s="48" t="str">
        <f>IF(NOT(ISNA(NPS_Data[[#This Row],[CreatedDateTime]])), TEXT(NPS_Data[[#This Row],[CreatedDateTime]],"dddd"), "")</f>
        <v>Tuesday</v>
      </c>
    </row>
    <row r="63" spans="1:32" x14ac:dyDescent="0.25">
      <c r="A63" s="2" t="s">
        <v>429</v>
      </c>
      <c r="B63" s="2" t="s">
        <v>36</v>
      </c>
      <c r="C63" s="2" t="s">
        <v>430</v>
      </c>
      <c r="D6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45912.645381944443</v>
      </c>
      <c r="E63" s="2" t="s">
        <v>219</v>
      </c>
      <c r="F63" s="2" t="s">
        <v>102</v>
      </c>
      <c r="G63" s="2" t="s">
        <v>431</v>
      </c>
      <c r="H63"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45915.379016203704</v>
      </c>
      <c r="I63" s="2" t="s">
        <v>23</v>
      </c>
      <c r="J63" s="2" t="s">
        <v>23</v>
      </c>
      <c r="K63" s="2" t="s">
        <v>88</v>
      </c>
      <c r="L63" s="2" t="s">
        <v>432</v>
      </c>
      <c r="M63" s="2" t="s">
        <v>433</v>
      </c>
      <c r="N63" s="2" t="s">
        <v>389</v>
      </c>
      <c r="O63" s="2" t="s">
        <v>177</v>
      </c>
      <c r="P63" s="2" t="s">
        <v>92</v>
      </c>
      <c r="Q63" s="3">
        <v>3</v>
      </c>
      <c r="R63" s="2" t="s">
        <v>30</v>
      </c>
      <c r="S63" s="2" t="s">
        <v>31</v>
      </c>
      <c r="T63" s="2" t="str">
        <f>IF(OR(NPS_Data[[#This Row],[CreatedDateTime]]="",NPS_Data[[#This Row],[Assigned To]]="",NPS_Data[[#This Row],[Issue 2 - NPS]]="",NPS_Data[[#This Row],[Program Name]]=""),"Missing","OK")</f>
        <v>OK</v>
      </c>
      <c r="U63" s="2" t="str">
        <f>IF(
  AND(NPS_Data[[#This Row],[Status]]="Complete", OR(ISNA(NPS_Data[[#This Row],[ResolvedDateTime]]), ISBLANK(NPS_Data[[#This Row],[ResolvedDateTime]]))),
  "CompleteNoResolved",
  IF(
    AND(NPS_Data[[#This Row],[Status]]="Pending", NPS_Data[[#This Row],[Sub Status]]="Solved"),
    "PendingButSolved",
    "OK"
  )
)</f>
        <v>OK</v>
      </c>
      <c r="V6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63" s="2" t="str">
        <f>IFERROR(TRIM(CLEAN(NPS_Data[[#This Row],[Ticket All Remarks]])),"")</f>
        <v>Confused between Data Science and Machine Learning Engineer paths. Course covers both but unclear about day-to-day responsibilities and career progression in each field. || Resolution: Arranged informational interviews with professionals in both roles</v>
      </c>
      <c r="X63" s="2" cm="1">
        <f t="array" aca="1" ref="X63" ca="1">IF(NPS_Data[[#This Row],[CleanRemark]]="","",
   SUMPRODUCT(CODE(MID(NPS_Data[[#This Row],[CleanRemark]],ROW(INDIRECT("1:"&amp;LEN(NPS_Data[[#This Row],[CleanRemark]]))),1))))</f>
        <v>23965</v>
      </c>
      <c r="Y63" s="2" t="str">
        <f>IF(COUNTIF(NPS_Data[Ticket No],NPS_Data[[#This Row],[Ticket No]])&gt;1,"Duplicate","OK")</f>
        <v>OK</v>
      </c>
      <c r="Z63" s="2" t="str">
        <f ca="1">IF(NPS_Data[[#This Row],[RemarkHash]]="","OK",
   IF(COUNTIF(NPS_Data[RemarkHash],NPS_Data[[#This Row],[RemarkHash]])&gt;1,"RepeatedRemark","OK"))</f>
        <v>RepeatedRemark</v>
      </c>
      <c r="AA63" s="17">
        <f>IF( AND( ISNUMBER(NPS_Data[[#This Row],[CreatedDateTime]]), ISNUMBER(NPS_Data[[#This Row],[ResolvedDateTime]]) ), (NPS_Data[[#This Row],[ResolvedDateTime]] - NPS_Data[[#This Row],[CreatedDateTime]]) * 24, 0 )</f>
        <v>65.607222222257406</v>
      </c>
      <c r="AB63" s="65" t="str">
        <f>IF(NOT(ISNA(NPS_Data[[#This Row],[CreatedDateTime]])),
   YEAR(NPS_Data[[#This Row],[CreatedDateTime]]) &amp; "-" &amp; TEXT(WEEKNUM(NPS_Data[[#This Row],[CreatedDateTime]],2),"00"),
   "")</f>
        <v>2025-37</v>
      </c>
      <c r="AC63" s="14" t="str">
        <f>IF(NOT(ISNA(NPS_Data[[#This Row],[CreatedDateTime]])), TEXT(NPS_Data[[#This Row],[CreatedDateTime]],"YYYY-MM"), "")</f>
        <v>2025-09</v>
      </c>
      <c r="AD63" s="14" t="str">
        <f>IF(NOT(ISNUMBER(NPS_Data[[#This Row],[ResolutionHours]])),"Open", IF(NPS_Data[[#This Row],[ResolutionHours]]&gt;72,"Breach","OK"))</f>
        <v>OK</v>
      </c>
      <c r="AE63" s="14">
        <f>IF(AND(ISNUMBER(NPS_Data[[#This Row],[CreatedDateTime]]), ISNUMBER(NPS_Data[[#This Row],[ResolvedDateTime]])), 1, 0)</f>
        <v>1</v>
      </c>
      <c r="AF63" s="48" t="str">
        <f>IF(NOT(ISNA(NPS_Data[[#This Row],[CreatedDateTime]])), TEXT(NPS_Data[[#This Row],[CreatedDateTime]],"dddd"), "")</f>
        <v>Friday</v>
      </c>
    </row>
    <row r="64" spans="1:32" x14ac:dyDescent="0.25">
      <c r="A64" s="2" t="s">
        <v>434</v>
      </c>
      <c r="B64" s="2" t="s">
        <v>435</v>
      </c>
      <c r="C64" s="2" t="s">
        <v>436</v>
      </c>
      <c r="D6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45873.81077546296</v>
      </c>
      <c r="E64" s="2" t="s">
        <v>113</v>
      </c>
      <c r="H64"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64" s="2" t="s">
        <v>23</v>
      </c>
      <c r="J64" s="2" t="s">
        <v>23</v>
      </c>
      <c r="K64" s="2" t="s">
        <v>88</v>
      </c>
      <c r="L64" s="2" t="s">
        <v>437</v>
      </c>
      <c r="M64" s="2" t="s">
        <v>438</v>
      </c>
      <c r="N64" s="2" t="s">
        <v>439</v>
      </c>
      <c r="O64" s="2" t="s">
        <v>48</v>
      </c>
      <c r="P64" s="2" t="s">
        <v>242</v>
      </c>
      <c r="Q64" s="3">
        <v>4</v>
      </c>
      <c r="R64" s="2" t="s">
        <v>30</v>
      </c>
      <c r="S64" s="2" t="s">
        <v>31</v>
      </c>
      <c r="T64" s="2" t="str">
        <f>IF(OR(NPS_Data[[#This Row],[CreatedDateTime]]="",NPS_Data[[#This Row],[Assigned To]]="",NPS_Data[[#This Row],[Issue 2 - NPS]]="",NPS_Data[[#This Row],[Program Name]]=""),"Missing","OK")</f>
        <v>OK</v>
      </c>
      <c r="U64" s="2" t="str">
        <f>IF(
  AND(NPS_Data[[#This Row],[Status]]="Complete", OR(ISNA(NPS_Data[[#This Row],[ResolvedDateTime]]), ISBLANK(NPS_Data[[#This Row],[ResolvedDateTime]]))),
  "CompleteNoResolved",
  IF(
    AND(NPS_Data[[#This Row],[Status]]="Pending", NPS_Data[[#This Row],[Sub Status]]="Solved"),
    "PendingButSolved",
    "OK"
  )
)</f>
        <v>OK</v>
      </c>
      <c r="V6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64" s="2" t="str">
        <f>IFERROR(TRIM(CLEAN(NPS_Data[[#This Row],[Ticket All Remarks]])),"")</f>
        <v>Career gap of 18 months for personal reasons creating red flags. Recruiters question commitment and skill currency despite recent course completion. || Resolution: Developed gap explanation strategy and skill demonstration projects</v>
      </c>
      <c r="X64" s="2" cm="1">
        <f t="array" aca="1" ref="X64" ca="1">IF(NPS_Data[[#This Row],[CleanRemark]]="","",
   SUMPRODUCT(CODE(MID(NPS_Data[[#This Row],[CleanRemark]],ROW(INDIRECT("1:"&amp;LEN(NPS_Data[[#This Row],[CleanRemark]]))),1))))</f>
        <v>22299</v>
      </c>
      <c r="Y64" s="2" t="str">
        <f>IF(COUNTIF(NPS_Data[Ticket No],NPS_Data[[#This Row],[Ticket No]])&gt;1,"Duplicate","OK")</f>
        <v>OK</v>
      </c>
      <c r="Z64" s="2" t="str">
        <f ca="1">IF(NPS_Data[[#This Row],[RemarkHash]]="","OK",
   IF(COUNTIF(NPS_Data[RemarkHash],NPS_Data[[#This Row],[RemarkHash]])&gt;1,"RepeatedRemark","OK"))</f>
        <v>RepeatedRemark</v>
      </c>
      <c r="AA64" s="17">
        <f>IF( AND( ISNUMBER(NPS_Data[[#This Row],[CreatedDateTime]]), ISNUMBER(NPS_Data[[#This Row],[ResolvedDateTime]]) ), (NPS_Data[[#This Row],[ResolvedDateTime]] - NPS_Data[[#This Row],[CreatedDateTime]]) * 24, 0 )</f>
        <v>0</v>
      </c>
      <c r="AB64" s="65" t="str">
        <f>IF(NOT(ISNA(NPS_Data[[#This Row],[CreatedDateTime]])),
   YEAR(NPS_Data[[#This Row],[CreatedDateTime]]) &amp; "-" &amp; TEXT(WEEKNUM(NPS_Data[[#This Row],[CreatedDateTime]],2),"00"),
   "")</f>
        <v>2025-32</v>
      </c>
      <c r="AC64" s="14" t="str">
        <f>IF(NOT(ISNA(NPS_Data[[#This Row],[CreatedDateTime]])), TEXT(NPS_Data[[#This Row],[CreatedDateTime]],"YYYY-MM"), "")</f>
        <v>2025-08</v>
      </c>
      <c r="AD64" s="14" t="str">
        <f>IF(NOT(ISNUMBER(NPS_Data[[#This Row],[ResolutionHours]])),"Open", IF(NPS_Data[[#This Row],[ResolutionHours]]&gt;72,"Breach","OK"))</f>
        <v>OK</v>
      </c>
      <c r="AE64" s="14">
        <f>IF(AND(ISNUMBER(NPS_Data[[#This Row],[CreatedDateTime]]), ISNUMBER(NPS_Data[[#This Row],[ResolvedDateTime]])), 1, 0)</f>
        <v>0</v>
      </c>
      <c r="AF64" s="48" t="str">
        <f>IF(NOT(ISNA(NPS_Data[[#This Row],[CreatedDateTime]])), TEXT(NPS_Data[[#This Row],[CreatedDateTime]],"dddd"), "")</f>
        <v>Monday</v>
      </c>
    </row>
    <row r="65" spans="1:32" x14ac:dyDescent="0.25">
      <c r="A65" s="2" t="s">
        <v>440</v>
      </c>
      <c r="B65" s="2" t="s">
        <v>441</v>
      </c>
      <c r="C65" s="2" t="s">
        <v>442</v>
      </c>
      <c r="D6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45877.517800925925</v>
      </c>
      <c r="E65" s="2" t="s">
        <v>71</v>
      </c>
      <c r="F65" s="2" t="s">
        <v>267</v>
      </c>
      <c r="G65" s="2" t="s">
        <v>443</v>
      </c>
      <c r="H65"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45879.572025462963</v>
      </c>
      <c r="I65" s="2" t="s">
        <v>23</v>
      </c>
      <c r="J65" s="2" t="s">
        <v>23</v>
      </c>
      <c r="K65" s="2" t="s">
        <v>24</v>
      </c>
      <c r="L65" s="2" t="s">
        <v>444</v>
      </c>
      <c r="M65" s="2" t="s">
        <v>445</v>
      </c>
      <c r="N65" s="2" t="s">
        <v>370</v>
      </c>
      <c r="O65" s="2" t="s">
        <v>41</v>
      </c>
      <c r="P65" s="2" t="s">
        <v>29</v>
      </c>
      <c r="Q65" s="3">
        <v>1</v>
      </c>
      <c r="R65" s="2" t="s">
        <v>30</v>
      </c>
      <c r="S65" s="2" t="s">
        <v>31</v>
      </c>
      <c r="T65" s="2" t="str">
        <f>IF(OR(NPS_Data[[#This Row],[CreatedDateTime]]="",NPS_Data[[#This Row],[Assigned To]]="",NPS_Data[[#This Row],[Issue 2 - NPS]]="",NPS_Data[[#This Row],[Program Name]]=""),"Missing","OK")</f>
        <v>OK</v>
      </c>
      <c r="U65" s="2" t="str">
        <f>IF(
  AND(NPS_Data[[#This Row],[Status]]="Complete", OR(ISNA(NPS_Data[[#This Row],[ResolvedDateTime]]), ISBLANK(NPS_Data[[#This Row],[ResolvedDateTime]]))),
  "CompleteNoResolved",
  IF(
    AND(NPS_Data[[#This Row],[Status]]="Pending", NPS_Data[[#This Row],[Sub Status]]="Solved"),
    "PendingButSolved",
    "OK"
  )
)</f>
        <v>OK</v>
      </c>
      <c r="V6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65" s="2" t="str">
        <f>IFERROR(TRIM(CLEAN(NPS_Data[[#This Row],[Ticket All Remarks]])),"")</f>
        <v>Project complexity too high for time allocated. Expected to build full e-commerce site in 2 weeks while learning React simultaneously. Unrealistic expectations. || Resolution: Redesigned project scope and extended timeline with milestone-based approach</v>
      </c>
      <c r="X65" s="2" cm="1">
        <f t="array" aca="1" ref="X65" ca="1">IF(NPS_Data[[#This Row],[CleanRemark]]="","",
   SUMPRODUCT(CODE(MID(NPS_Data[[#This Row],[CleanRemark]],ROW(INDIRECT("1:"&amp;LEN(NPS_Data[[#This Row],[CleanRemark]]))),1))))</f>
        <v>24100</v>
      </c>
      <c r="Y65" s="2" t="str">
        <f>IF(COUNTIF(NPS_Data[Ticket No],NPS_Data[[#This Row],[Ticket No]])&gt;1,"Duplicate","OK")</f>
        <v>OK</v>
      </c>
      <c r="Z65" s="2" t="str">
        <f ca="1">IF(NPS_Data[[#This Row],[RemarkHash]]="","OK",
   IF(COUNTIF(NPS_Data[RemarkHash],NPS_Data[[#This Row],[RemarkHash]])&gt;1,"RepeatedRemark","OK"))</f>
        <v>RepeatedRemark</v>
      </c>
      <c r="AA65" s="17">
        <f>IF( AND( ISNUMBER(NPS_Data[[#This Row],[CreatedDateTime]]), ISNUMBER(NPS_Data[[#This Row],[ResolvedDateTime]]) ), (NPS_Data[[#This Row],[ResolvedDateTime]] - NPS_Data[[#This Row],[CreatedDateTime]]) * 24, 0 )</f>
        <v>49.301388888910878</v>
      </c>
      <c r="AB65" s="65" t="str">
        <f>IF(NOT(ISNA(NPS_Data[[#This Row],[CreatedDateTime]])),
   YEAR(NPS_Data[[#This Row],[CreatedDateTime]]) &amp; "-" &amp; TEXT(WEEKNUM(NPS_Data[[#This Row],[CreatedDateTime]],2),"00"),
   "")</f>
        <v>2025-32</v>
      </c>
      <c r="AC65" s="14" t="str">
        <f>IF(NOT(ISNA(NPS_Data[[#This Row],[CreatedDateTime]])), TEXT(NPS_Data[[#This Row],[CreatedDateTime]],"YYYY-MM"), "")</f>
        <v>2025-08</v>
      </c>
      <c r="AD65" s="14" t="str">
        <f>IF(NOT(ISNUMBER(NPS_Data[[#This Row],[ResolutionHours]])),"Open", IF(NPS_Data[[#This Row],[ResolutionHours]]&gt;72,"Breach","OK"))</f>
        <v>OK</v>
      </c>
      <c r="AE65" s="14">
        <f>IF(AND(ISNUMBER(NPS_Data[[#This Row],[CreatedDateTime]]), ISNUMBER(NPS_Data[[#This Row],[ResolvedDateTime]])), 1, 0)</f>
        <v>1</v>
      </c>
      <c r="AF65" s="48" t="str">
        <f>IF(NOT(ISNA(NPS_Data[[#This Row],[CreatedDateTime]])), TEXT(NPS_Data[[#This Row],[CreatedDateTime]],"dddd"), "")</f>
        <v>Friday</v>
      </c>
    </row>
    <row r="66" spans="1:32" x14ac:dyDescent="0.25">
      <c r="A66" s="2" t="s">
        <v>446</v>
      </c>
      <c r="B66" s="2" t="s">
        <v>211</v>
      </c>
      <c r="C66" s="2" t="s">
        <v>447</v>
      </c>
      <c r="D6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45918.649131944447</v>
      </c>
      <c r="E66" s="2" t="s">
        <v>35</v>
      </c>
      <c r="F66" s="2" t="s">
        <v>448</v>
      </c>
      <c r="G66" s="2" t="s">
        <v>449</v>
      </c>
      <c r="H66"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45924.417025462964</v>
      </c>
      <c r="I66" s="2" t="s">
        <v>23</v>
      </c>
      <c r="J66" s="2" t="s">
        <v>23</v>
      </c>
      <c r="K66" s="2" t="s">
        <v>88</v>
      </c>
      <c r="L66" s="2" t="s">
        <v>450</v>
      </c>
      <c r="M66" s="2" t="s">
        <v>451</v>
      </c>
      <c r="N66" s="2" t="s">
        <v>452</v>
      </c>
      <c r="O66" s="2" t="s">
        <v>41</v>
      </c>
      <c r="P66" s="2" t="s">
        <v>216</v>
      </c>
      <c r="Q66" s="3">
        <v>8</v>
      </c>
      <c r="R66" s="2" t="s">
        <v>30</v>
      </c>
      <c r="S66" s="2" t="s">
        <v>31</v>
      </c>
      <c r="T66" s="2" t="str">
        <f>IF(OR(NPS_Data[[#This Row],[CreatedDateTime]]="",NPS_Data[[#This Row],[Assigned To]]="",NPS_Data[[#This Row],[Issue 2 - NPS]]="",NPS_Data[[#This Row],[Program Name]]=""),"Missing","OK")</f>
        <v>OK</v>
      </c>
      <c r="U66" s="2" t="str">
        <f>IF(
  AND(NPS_Data[[#This Row],[Status]]="Complete", OR(ISNA(NPS_Data[[#This Row],[ResolvedDateTime]]), ISBLANK(NPS_Data[[#This Row],[ResolvedDateTime]]))),
  "CompleteNoResolved",
  IF(
    AND(NPS_Data[[#This Row],[Status]]="Pending", NPS_Data[[#This Row],[Sub Status]]="Solved"),
    "PendingButSolved",
    "OK"
  )
)</f>
        <v>OK</v>
      </c>
      <c r="V6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66" s="2" t="str">
        <f>IFERROR(TRIM(CLEAN(NPS_Data[[#This Row],[Ticket All Remarks]])),"")</f>
        <v>Career guidance sessions focus only on technical skills. No discussion about salary negotiation, Uber culture fit, or work-life balance considerations. || Resolution: Introduced holistic career coaching covering all professional aspects</v>
      </c>
      <c r="X66" s="2" cm="1">
        <f t="array" aca="1" ref="X66" ca="1">IF(NPS_Data[[#This Row],[CleanRemark]]="","",
   SUMPRODUCT(CODE(MID(NPS_Data[[#This Row],[CleanRemark]],ROW(INDIRECT("1:"&amp;LEN(NPS_Data[[#This Row],[CleanRemark]]))),1))))</f>
        <v>22709</v>
      </c>
      <c r="Y66" s="2" t="str">
        <f>IF(COUNTIF(NPS_Data[Ticket No],NPS_Data[[#This Row],[Ticket No]])&gt;1,"Duplicate","OK")</f>
        <v>OK</v>
      </c>
      <c r="Z66" s="2" t="str">
        <f ca="1">IF(NPS_Data[[#This Row],[RemarkHash]]="","OK",
   IF(COUNTIF(NPS_Data[RemarkHash],NPS_Data[[#This Row],[RemarkHash]])&gt;1,"RepeatedRemark","OK"))</f>
        <v>OK</v>
      </c>
      <c r="AA66" s="17">
        <f>IF( AND( ISNUMBER(NPS_Data[[#This Row],[CreatedDateTime]]), ISNUMBER(NPS_Data[[#This Row],[ResolvedDateTime]]) ), (NPS_Data[[#This Row],[ResolvedDateTime]] - NPS_Data[[#This Row],[CreatedDateTime]]) * 24, 0 )</f>
        <v>138.42944444442401</v>
      </c>
      <c r="AB66" s="65" t="str">
        <f>IF(NOT(ISNA(NPS_Data[[#This Row],[CreatedDateTime]])),
   YEAR(NPS_Data[[#This Row],[CreatedDateTime]]) &amp; "-" &amp; TEXT(WEEKNUM(NPS_Data[[#This Row],[CreatedDateTime]],2),"00"),
   "")</f>
        <v>2025-38</v>
      </c>
      <c r="AC66" s="14" t="str">
        <f>IF(NOT(ISNA(NPS_Data[[#This Row],[CreatedDateTime]])), TEXT(NPS_Data[[#This Row],[CreatedDateTime]],"YYYY-MM"), "")</f>
        <v>2025-09</v>
      </c>
      <c r="AD66" s="14" t="str">
        <f>IF(NOT(ISNUMBER(NPS_Data[[#This Row],[ResolutionHours]])),"Open", IF(NPS_Data[[#This Row],[ResolutionHours]]&gt;72,"Breach","OK"))</f>
        <v>Breach</v>
      </c>
      <c r="AE66" s="14">
        <f>IF(AND(ISNUMBER(NPS_Data[[#This Row],[CreatedDateTime]]), ISNUMBER(NPS_Data[[#This Row],[ResolvedDateTime]])), 1, 0)</f>
        <v>1</v>
      </c>
      <c r="AF66" s="48" t="str">
        <f>IF(NOT(ISNA(NPS_Data[[#This Row],[CreatedDateTime]])), TEXT(NPS_Data[[#This Row],[CreatedDateTime]],"dddd"), "")</f>
        <v>Thursday</v>
      </c>
    </row>
    <row r="67" spans="1:32" x14ac:dyDescent="0.25">
      <c r="A67" s="2" t="s">
        <v>453</v>
      </c>
      <c r="B67" s="2" t="s">
        <v>224</v>
      </c>
      <c r="C67" s="2" t="s">
        <v>454</v>
      </c>
      <c r="D6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45872.86141203704</v>
      </c>
      <c r="E67" s="2" t="s">
        <v>44</v>
      </c>
      <c r="F67" s="2" t="s">
        <v>313</v>
      </c>
      <c r="G67" s="2" t="s">
        <v>455</v>
      </c>
      <c r="H67"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45880.455092592594</v>
      </c>
      <c r="I67" s="2" t="s">
        <v>23</v>
      </c>
      <c r="J67" s="2" t="s">
        <v>23</v>
      </c>
      <c r="K67" s="2" t="s">
        <v>88</v>
      </c>
      <c r="L67" s="2" t="s">
        <v>456</v>
      </c>
      <c r="M67" s="2" t="s">
        <v>457</v>
      </c>
      <c r="N67" s="2" t="s">
        <v>188</v>
      </c>
      <c r="O67" s="2" t="s">
        <v>41</v>
      </c>
      <c r="P67" s="2" t="s">
        <v>189</v>
      </c>
      <c r="Q67" s="3">
        <v>7</v>
      </c>
      <c r="R67" s="2" t="s">
        <v>30</v>
      </c>
      <c r="S67" s="2" t="s">
        <v>31</v>
      </c>
      <c r="T67" s="2" t="str">
        <f>IF(OR(NPS_Data[[#This Row],[CreatedDateTime]]="",NPS_Data[[#This Row],[Assigned To]]="",NPS_Data[[#This Row],[Issue 2 - NPS]]="",NPS_Data[[#This Row],[Program Name]]=""),"Missing","OK")</f>
        <v>OK</v>
      </c>
      <c r="U67" s="2" t="str">
        <f>IF(
  AND(NPS_Data[[#This Row],[Status]]="Complete", OR(ISNA(NPS_Data[[#This Row],[ResolvedDateTime]]), ISBLANK(NPS_Data[[#This Row],[ResolvedDateTime]]))),
  "CompleteNoResolved",
  IF(
    AND(NPS_Data[[#This Row],[Status]]="Pending", NPS_Data[[#This Row],[Sub Status]]="Solved"),
    "PendingButSolved",
    "OK"
  )
)</f>
        <v>OK</v>
      </c>
      <c r="V6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67" s="2" t="str">
        <f>IFERROR(TRIM(CLEAN(NPS_Data[[#This Row],[Ticket All Remarks]])),"")</f>
        <v>Multiple interview rounds cleared but final selection goes to internal referrals. External candidates seem disadvantaged despite equal performance. || Resolution: Expanded alumni network for referral opportunities and insider advocacy</v>
      </c>
      <c r="X67" s="2" cm="1">
        <f t="array" aca="1" ref="X67" ca="1">IF(NPS_Data[[#This Row],[CleanRemark]]="","",
   SUMPRODUCT(CODE(MID(NPS_Data[[#This Row],[CleanRemark]],ROW(INDIRECT("1:"&amp;LEN(NPS_Data[[#This Row],[CleanRemark]]))),1))))</f>
        <v>22764</v>
      </c>
      <c r="Y67" s="2" t="str">
        <f>IF(COUNTIF(NPS_Data[Ticket No],NPS_Data[[#This Row],[Ticket No]])&gt;1,"Duplicate","OK")</f>
        <v>OK</v>
      </c>
      <c r="Z67" s="2" t="str">
        <f ca="1">IF(NPS_Data[[#This Row],[RemarkHash]]="","OK",
   IF(COUNTIF(NPS_Data[RemarkHash],NPS_Data[[#This Row],[RemarkHash]])&gt;1,"RepeatedRemark","OK"))</f>
        <v>RepeatedRemark</v>
      </c>
      <c r="AA67" s="17">
        <f>IF( AND( ISNUMBER(NPS_Data[[#This Row],[CreatedDateTime]]), ISNUMBER(NPS_Data[[#This Row],[ResolvedDateTime]]) ), (NPS_Data[[#This Row],[ResolvedDateTime]] - NPS_Data[[#This Row],[CreatedDateTime]]) * 24, 0 )</f>
        <v>182.24833333329298</v>
      </c>
      <c r="AB67" s="65" t="str">
        <f>IF(NOT(ISNA(NPS_Data[[#This Row],[CreatedDateTime]])),
   YEAR(NPS_Data[[#This Row],[CreatedDateTime]]) &amp; "-" &amp; TEXT(WEEKNUM(NPS_Data[[#This Row],[CreatedDateTime]],2),"00"),
   "")</f>
        <v>2025-31</v>
      </c>
      <c r="AC67" s="14" t="str">
        <f>IF(NOT(ISNA(NPS_Data[[#This Row],[CreatedDateTime]])), TEXT(NPS_Data[[#This Row],[CreatedDateTime]],"YYYY-MM"), "")</f>
        <v>2025-08</v>
      </c>
      <c r="AD67" s="14" t="str">
        <f>IF(NOT(ISNUMBER(NPS_Data[[#This Row],[ResolutionHours]])),"Open", IF(NPS_Data[[#This Row],[ResolutionHours]]&gt;72,"Breach","OK"))</f>
        <v>Breach</v>
      </c>
      <c r="AE67" s="14">
        <f>IF(AND(ISNUMBER(NPS_Data[[#This Row],[CreatedDateTime]]), ISNUMBER(NPS_Data[[#This Row],[ResolvedDateTime]])), 1, 0)</f>
        <v>1</v>
      </c>
      <c r="AF67" s="48" t="str">
        <f>IF(NOT(ISNA(NPS_Data[[#This Row],[CreatedDateTime]])), TEXT(NPS_Data[[#This Row],[CreatedDateTime]],"dddd"), "")</f>
        <v>Sunday</v>
      </c>
    </row>
    <row r="68" spans="1:32" x14ac:dyDescent="0.25">
      <c r="A68" s="2" t="s">
        <v>458</v>
      </c>
      <c r="B68" s="2" t="s">
        <v>21</v>
      </c>
      <c r="C68" s="2" t="s">
        <v>459</v>
      </c>
      <c r="D6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45899.519178240742</v>
      </c>
      <c r="E68" s="2" t="s">
        <v>104</v>
      </c>
      <c r="H68"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68" s="2" t="s">
        <v>23</v>
      </c>
      <c r="J68" s="2" t="s">
        <v>23</v>
      </c>
      <c r="K68" s="2" t="s">
        <v>56</v>
      </c>
      <c r="L68" s="2" t="s">
        <v>460</v>
      </c>
      <c r="M68" s="2" t="s">
        <v>461</v>
      </c>
      <c r="N68" s="11" t="s">
        <v>462</v>
      </c>
      <c r="O68" s="2" t="s">
        <v>28</v>
      </c>
      <c r="P68" s="2" t="s">
        <v>29</v>
      </c>
      <c r="Q68" s="3">
        <v>2</v>
      </c>
      <c r="R68" s="2" t="s">
        <v>30</v>
      </c>
      <c r="S68" s="2" t="s">
        <v>116</v>
      </c>
      <c r="T68" s="2" t="str">
        <f>IF(OR(NPS_Data[[#This Row],[CreatedDateTime]]="",NPS_Data[[#This Row],[Assigned To]]="",NPS_Data[[#This Row],[Issue 2 - NPS]]="",NPS_Data[[#This Row],[Program Name]]=""),"Missing","OK")</f>
        <v>OK</v>
      </c>
      <c r="U68" s="2" t="str">
        <f>IF(
  AND(NPS_Data[[#This Row],[Status]]="Complete", OR(ISNA(NPS_Data[[#This Row],[ResolvedDateTime]]), ISBLANK(NPS_Data[[#This Row],[ResolvedDateTime]]))),
  "CompleteNoResolved",
  IF(
    AND(NPS_Data[[#This Row],[Status]]="Pending", NPS_Data[[#This Row],[Sub Status]]="Solved"),
    "PendingButSolved",
    "OK"
  )
)</f>
        <v>OK</v>
      </c>
      <c r="V6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68" s="2" t="str">
        <f>IFERROR(TRIM(CLEAN(NPS_Data[[#This Row],[Ticket All Remarks]])),"")</f>
        <v>Capstone project requirements unclear and keep changing. Initially asked for web app, then data analysis, now ML model. Wasted 3 weeks on wrong direction. || Resolution: Standardized project requirements and assigned dedicated project coordinator</v>
      </c>
      <c r="X68" s="2" cm="1">
        <f t="array" aca="1" ref="X68" ca="1">IF(NPS_Data[[#This Row],[CleanRemark]]="","",
   SUMPRODUCT(CODE(MID(NPS_Data[[#This Row],[CleanRemark]],ROW(INDIRECT("1:"&amp;LEN(NPS_Data[[#This Row],[CleanRemark]]))),1))))</f>
        <v>23321</v>
      </c>
      <c r="Y68" s="2" t="str">
        <f>IF(COUNTIF(NPS_Data[Ticket No],NPS_Data[[#This Row],[Ticket No]])&gt;1,"Duplicate","OK")</f>
        <v>OK</v>
      </c>
      <c r="Z68" s="2" t="str">
        <f ca="1">IF(NPS_Data[[#This Row],[RemarkHash]]="","OK",
   IF(COUNTIF(NPS_Data[RemarkHash],NPS_Data[[#This Row],[RemarkHash]])&gt;1,"RepeatedRemark","OK"))</f>
        <v>RepeatedRemark</v>
      </c>
      <c r="AA68" s="17">
        <f>IF( AND( ISNUMBER(NPS_Data[[#This Row],[CreatedDateTime]]), ISNUMBER(NPS_Data[[#This Row],[ResolvedDateTime]]) ), (NPS_Data[[#This Row],[ResolvedDateTime]] - NPS_Data[[#This Row],[CreatedDateTime]]) * 24, 0 )</f>
        <v>0</v>
      </c>
      <c r="AB68" s="65" t="str">
        <f>IF(NOT(ISNA(NPS_Data[[#This Row],[CreatedDateTime]])),
   YEAR(NPS_Data[[#This Row],[CreatedDateTime]]) &amp; "-" &amp; TEXT(WEEKNUM(NPS_Data[[#This Row],[CreatedDateTime]],2),"00"),
   "")</f>
        <v>2025-35</v>
      </c>
      <c r="AC68" s="14" t="str">
        <f>IF(NOT(ISNA(NPS_Data[[#This Row],[CreatedDateTime]])), TEXT(NPS_Data[[#This Row],[CreatedDateTime]],"YYYY-MM"), "")</f>
        <v>2025-08</v>
      </c>
      <c r="AD68" s="14" t="str">
        <f>IF(NOT(ISNUMBER(NPS_Data[[#This Row],[ResolutionHours]])),"Open", IF(NPS_Data[[#This Row],[ResolutionHours]]&gt;72,"Breach","OK"))</f>
        <v>OK</v>
      </c>
      <c r="AE68" s="14">
        <f>IF(AND(ISNUMBER(NPS_Data[[#This Row],[CreatedDateTime]]), ISNUMBER(NPS_Data[[#This Row],[ResolvedDateTime]])), 1, 0)</f>
        <v>0</v>
      </c>
      <c r="AF68" s="48" t="str">
        <f>IF(NOT(ISNA(NPS_Data[[#This Row],[CreatedDateTime]])), TEXT(NPS_Data[[#This Row],[CreatedDateTime]],"dddd"), "")</f>
        <v>Saturday</v>
      </c>
    </row>
    <row r="69" spans="1:32" x14ac:dyDescent="0.25">
      <c r="A69" s="2" t="s">
        <v>463</v>
      </c>
      <c r="B69" s="2" t="s">
        <v>226</v>
      </c>
      <c r="C69" s="2" t="s">
        <v>464</v>
      </c>
      <c r="D6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45884.717326388891</v>
      </c>
      <c r="E69" s="2" t="s">
        <v>167</v>
      </c>
      <c r="F69" s="2" t="s">
        <v>366</v>
      </c>
      <c r="G69" s="2" t="s">
        <v>465</v>
      </c>
      <c r="H69"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45887.439351851855</v>
      </c>
      <c r="I69" s="2" t="s">
        <v>23</v>
      </c>
      <c r="J69" s="2" t="s">
        <v>23</v>
      </c>
      <c r="K69" s="2" t="s">
        <v>38</v>
      </c>
      <c r="L69" s="2" t="s">
        <v>466</v>
      </c>
      <c r="M69" s="2" t="s">
        <v>467</v>
      </c>
      <c r="N69" s="2" t="s">
        <v>468</v>
      </c>
      <c r="O69" s="2" t="s">
        <v>28</v>
      </c>
      <c r="P69" s="2" t="s">
        <v>379</v>
      </c>
      <c r="Q69" s="3">
        <v>8</v>
      </c>
      <c r="R69" s="2" t="s">
        <v>30</v>
      </c>
      <c r="S69" s="2" t="s">
        <v>31</v>
      </c>
      <c r="T69" s="2" t="str">
        <f>IF(OR(NPS_Data[[#This Row],[CreatedDateTime]]="",NPS_Data[[#This Row],[Assigned To]]="",NPS_Data[[#This Row],[Issue 2 - NPS]]="",NPS_Data[[#This Row],[Program Name]]=""),"Missing","OK")</f>
        <v>OK</v>
      </c>
      <c r="U69" s="2" t="str">
        <f>IF(
  AND(NPS_Data[[#This Row],[Status]]="Complete", OR(ISNA(NPS_Data[[#This Row],[ResolvedDateTime]]), ISBLANK(NPS_Data[[#This Row],[ResolvedDateTime]]))),
  "CompleteNoResolved",
  IF(
    AND(NPS_Data[[#This Row],[Status]]="Pending", NPS_Data[[#This Row],[Sub Status]]="Solved"),
    "PendingButSolved",
    "OK"
  )
)</f>
        <v>OK</v>
      </c>
      <c r="V6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69" s="2" t="str">
        <f>IFERROR(TRIM(CLEAN(NPS_Data[[#This Row],[Ticket All Remarks]])),"")</f>
        <v>Full Stack development track doesn't cover modern React patterns like hooks, context, or Next.js. Still teaching class components from React 16. || Resolution: Complete overhaul of React curriculum to cover React 18 features</v>
      </c>
      <c r="X69" s="2" cm="1">
        <f t="array" aca="1" ref="X69" ca="1">IF(NPS_Data[[#This Row],[CleanRemark]]="","",
   SUMPRODUCT(CODE(MID(NPS_Data[[#This Row],[CleanRemark]],ROW(INDIRECT("1:"&amp;LEN(NPS_Data[[#This Row],[CleanRemark]]))),1))))</f>
        <v>20868</v>
      </c>
      <c r="Y69" s="2" t="str">
        <f>IF(COUNTIF(NPS_Data[Ticket No],NPS_Data[[#This Row],[Ticket No]])&gt;1,"Duplicate","OK")</f>
        <v>OK</v>
      </c>
      <c r="Z69" s="2" t="str">
        <f ca="1">IF(NPS_Data[[#This Row],[RemarkHash]]="","OK",
   IF(COUNTIF(NPS_Data[RemarkHash],NPS_Data[[#This Row],[RemarkHash]])&gt;1,"RepeatedRemark","OK"))</f>
        <v>RepeatedRemark</v>
      </c>
      <c r="AA69" s="17">
        <f>IF( AND( ISNUMBER(NPS_Data[[#This Row],[CreatedDateTime]]), ISNUMBER(NPS_Data[[#This Row],[ResolvedDateTime]]) ), (NPS_Data[[#This Row],[ResolvedDateTime]] - NPS_Data[[#This Row],[CreatedDateTime]]) * 24, 0 )</f>
        <v>65.328611111151986</v>
      </c>
      <c r="AB69" s="65" t="str">
        <f>IF(NOT(ISNA(NPS_Data[[#This Row],[CreatedDateTime]])),
   YEAR(NPS_Data[[#This Row],[CreatedDateTime]]) &amp; "-" &amp; TEXT(WEEKNUM(NPS_Data[[#This Row],[CreatedDateTime]],2),"00"),
   "")</f>
        <v>2025-33</v>
      </c>
      <c r="AC69" s="14" t="str">
        <f>IF(NOT(ISNA(NPS_Data[[#This Row],[CreatedDateTime]])), TEXT(NPS_Data[[#This Row],[CreatedDateTime]],"YYYY-MM"), "")</f>
        <v>2025-08</v>
      </c>
      <c r="AD69" s="14" t="str">
        <f>IF(NOT(ISNUMBER(NPS_Data[[#This Row],[ResolutionHours]])),"Open", IF(NPS_Data[[#This Row],[ResolutionHours]]&gt;72,"Breach","OK"))</f>
        <v>OK</v>
      </c>
      <c r="AE69" s="14">
        <f>IF(AND(ISNUMBER(NPS_Data[[#This Row],[CreatedDateTime]]), ISNUMBER(NPS_Data[[#This Row],[ResolvedDateTime]])), 1, 0)</f>
        <v>1</v>
      </c>
      <c r="AF69" s="48" t="str">
        <f>IF(NOT(ISNA(NPS_Data[[#This Row],[CreatedDateTime]])), TEXT(NPS_Data[[#This Row],[CreatedDateTime]],"dddd"), "")</f>
        <v>Friday</v>
      </c>
    </row>
    <row r="70" spans="1:32" x14ac:dyDescent="0.25">
      <c r="A70" s="2" t="s">
        <v>469</v>
      </c>
      <c r="B70" s="2" t="s">
        <v>120</v>
      </c>
      <c r="C70" s="2" t="s">
        <v>470</v>
      </c>
      <c r="D7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45882.783761574072</v>
      </c>
      <c r="E70" s="2" t="s">
        <v>87</v>
      </c>
      <c r="F70" s="2" t="s">
        <v>141</v>
      </c>
      <c r="G70" s="2" t="s">
        <v>471</v>
      </c>
      <c r="H70"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45885.424872685187</v>
      </c>
      <c r="I70" s="2" t="s">
        <v>23</v>
      </c>
      <c r="J70" s="2" t="s">
        <v>23</v>
      </c>
      <c r="K70" s="2" t="s">
        <v>38</v>
      </c>
      <c r="L70" s="2" t="s">
        <v>472</v>
      </c>
      <c r="M70" s="2" t="s">
        <v>473</v>
      </c>
      <c r="N70" s="2" t="s">
        <v>201</v>
      </c>
      <c r="O70" s="2" t="s">
        <v>41</v>
      </c>
      <c r="P70" s="2" t="s">
        <v>158</v>
      </c>
      <c r="Q70" s="3">
        <v>8</v>
      </c>
      <c r="R70" s="2" t="s">
        <v>30</v>
      </c>
      <c r="S70" s="2" t="s">
        <v>31</v>
      </c>
      <c r="T70" s="2" t="str">
        <f>IF(OR(NPS_Data[[#This Row],[CreatedDateTime]]="",NPS_Data[[#This Row],[Assigned To]]="",NPS_Data[[#This Row],[Issue 2 - NPS]]="",NPS_Data[[#This Row],[Program Name]]=""),"Missing","OK")</f>
        <v>OK</v>
      </c>
      <c r="U70" s="2" t="str">
        <f>IF(
  AND(NPS_Data[[#This Row],[Status]]="Complete", OR(ISNA(NPS_Data[[#This Row],[ResolvedDateTime]]), ISBLANK(NPS_Data[[#This Row],[ResolvedDateTime]]))),
  "CompleteNoResolved",
  IF(
    AND(NPS_Data[[#This Row],[Status]]="Pending", NPS_Data[[#This Row],[Sub Status]]="Solved"),
    "PendingButSolved",
    "OK"
  )
)</f>
        <v>OK</v>
      </c>
      <c r="V7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70" s="2" t="str">
        <f>IFERROR(TRIM(CLEAN(NPS_Data[[#This Row],[Ticket All Remarks]])),"")</f>
        <v>Weekend DevOps Jul25 timing (10 AM - 2 PM) conflicts with family time. Children's activities and household responsibilities suffer due to class schedule. || Resolution: Created flexible weekend options with shorter session formats</v>
      </c>
      <c r="X70" s="2" cm="1">
        <f t="array" aca="1" ref="X70" ca="1">IF(NPS_Data[[#This Row],[CleanRemark]]="","",
   SUMPRODUCT(CODE(MID(NPS_Data[[#This Row],[CleanRemark]],ROW(INDIRECT("1:"&amp;LEN(NPS_Data[[#This Row],[CleanRemark]]))),1))))</f>
        <v>21344</v>
      </c>
      <c r="Y70" s="2" t="str">
        <f>IF(COUNTIF(NPS_Data[Ticket No],NPS_Data[[#This Row],[Ticket No]])&gt;1,"Duplicate","OK")</f>
        <v>OK</v>
      </c>
      <c r="Z70" s="2" t="str">
        <f ca="1">IF(NPS_Data[[#This Row],[RemarkHash]]="","OK",
   IF(COUNTIF(NPS_Data[RemarkHash],NPS_Data[[#This Row],[RemarkHash]])&gt;1,"RepeatedRemark","OK"))</f>
        <v>RepeatedRemark</v>
      </c>
      <c r="AA70" s="17">
        <f>IF( AND( ISNUMBER(NPS_Data[[#This Row],[CreatedDateTime]]), ISNUMBER(NPS_Data[[#This Row],[ResolvedDateTime]]) ), (NPS_Data[[#This Row],[ResolvedDateTime]] - NPS_Data[[#This Row],[CreatedDateTime]]) * 24, 0 )</f>
        <v>63.386666666774545</v>
      </c>
      <c r="AB70" s="65" t="str">
        <f>IF(NOT(ISNA(NPS_Data[[#This Row],[CreatedDateTime]])),
   YEAR(NPS_Data[[#This Row],[CreatedDateTime]]) &amp; "-" &amp; TEXT(WEEKNUM(NPS_Data[[#This Row],[CreatedDateTime]],2),"00"),
   "")</f>
        <v>2025-33</v>
      </c>
      <c r="AC70" s="14" t="str">
        <f>IF(NOT(ISNA(NPS_Data[[#This Row],[CreatedDateTime]])), TEXT(NPS_Data[[#This Row],[CreatedDateTime]],"YYYY-MM"), "")</f>
        <v>2025-08</v>
      </c>
      <c r="AD70" s="14" t="str">
        <f>IF(NOT(ISNUMBER(NPS_Data[[#This Row],[ResolutionHours]])),"Open", IF(NPS_Data[[#This Row],[ResolutionHours]]&gt;72,"Breach","OK"))</f>
        <v>OK</v>
      </c>
      <c r="AE70" s="14">
        <f>IF(AND(ISNUMBER(NPS_Data[[#This Row],[CreatedDateTime]]), ISNUMBER(NPS_Data[[#This Row],[ResolvedDateTime]])), 1, 0)</f>
        <v>1</v>
      </c>
      <c r="AF70" s="48" t="str">
        <f>IF(NOT(ISNA(NPS_Data[[#This Row],[CreatedDateTime]])), TEXT(NPS_Data[[#This Row],[CreatedDateTime]],"dddd"), "")</f>
        <v>Wednesday</v>
      </c>
    </row>
    <row r="71" spans="1:32" x14ac:dyDescent="0.25">
      <c r="A71" s="2" t="s">
        <v>474</v>
      </c>
      <c r="B71" s="2" t="s">
        <v>396</v>
      </c>
      <c r="C71" s="2" t="s">
        <v>475</v>
      </c>
      <c r="D7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45874.711331018516</v>
      </c>
      <c r="E71" s="2" t="s">
        <v>87</v>
      </c>
      <c r="F71" s="2" t="s">
        <v>141</v>
      </c>
      <c r="G71" s="2" t="s">
        <v>476</v>
      </c>
      <c r="H71"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45885.576585648145</v>
      </c>
      <c r="I71" s="2" t="s">
        <v>23</v>
      </c>
      <c r="J71" s="2" t="s">
        <v>23</v>
      </c>
      <c r="K71" s="2" t="s">
        <v>88</v>
      </c>
      <c r="L71" s="2" t="s">
        <v>477</v>
      </c>
      <c r="M71" s="2" t="s">
        <v>478</v>
      </c>
      <c r="N71" s="2" t="s">
        <v>479</v>
      </c>
      <c r="O71" s="2" t="s">
        <v>28</v>
      </c>
      <c r="P71" s="2" t="s">
        <v>132</v>
      </c>
      <c r="Q71" s="3">
        <v>6</v>
      </c>
      <c r="R71" s="2" t="s">
        <v>30</v>
      </c>
      <c r="S71" s="2" t="s">
        <v>31</v>
      </c>
      <c r="T71" s="2" t="str">
        <f>IF(OR(NPS_Data[[#This Row],[CreatedDateTime]]="",NPS_Data[[#This Row],[Assigned To]]="",NPS_Data[[#This Row],[Issue 2 - NPS]]="",NPS_Data[[#This Row],[Program Name]]=""),"Missing","OK")</f>
        <v>OK</v>
      </c>
      <c r="U71" s="2" t="str">
        <f>IF(
  AND(NPS_Data[[#This Row],[Status]]="Complete", OR(ISNA(NPS_Data[[#This Row],[ResolvedDateTime]]), ISBLANK(NPS_Data[[#This Row],[ResolvedDateTime]]))),
  "CompleteNoResolved",
  IF(
    AND(NPS_Data[[#This Row],[Status]]="Pending", NPS_Data[[#This Row],[Sub Status]]="Solved"),
    "PendingButSolved",
    "OK"
  )
)</f>
        <v>OK</v>
      </c>
      <c r="V7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71" s="2" t="str">
        <f>IFERROR(TRIM(CLEAN(NPS_Data[[#This Row],[Ticket All Remarks]])),"")</f>
        <v>Placement support limited to specific tech stacks learned in course. Want to explore adjacent technologies but placement team won't help. || Resolution: Expanded placement support to cover related MongoDB transitions</v>
      </c>
      <c r="X71" s="2" cm="1">
        <f t="array" aca="1" ref="X71" ca="1">IF(NPS_Data[[#This Row],[CleanRemark]]="","",
   SUMPRODUCT(CODE(MID(NPS_Data[[#This Row],[CleanRemark]],ROW(INDIRECT("1:"&amp;LEN(NPS_Data[[#This Row],[CleanRemark]]))),1))))</f>
        <v>20668</v>
      </c>
      <c r="Y71" s="2" t="str">
        <f>IF(COUNTIF(NPS_Data[Ticket No],NPS_Data[[#This Row],[Ticket No]])&gt;1,"Duplicate","OK")</f>
        <v>OK</v>
      </c>
      <c r="Z71" s="2" t="str">
        <f ca="1">IF(NPS_Data[[#This Row],[RemarkHash]]="","OK",
   IF(COUNTIF(NPS_Data[RemarkHash],NPS_Data[[#This Row],[RemarkHash]])&gt;1,"RepeatedRemark","OK"))</f>
        <v>OK</v>
      </c>
      <c r="AA71" s="17">
        <f>IF( AND( ISNUMBER(NPS_Data[[#This Row],[CreatedDateTime]]), ISNUMBER(NPS_Data[[#This Row],[ResolvedDateTime]]) ), (NPS_Data[[#This Row],[ResolvedDateTime]] - NPS_Data[[#This Row],[CreatedDateTime]]) * 24, 0 )</f>
        <v>260.76611111109378</v>
      </c>
      <c r="AB71" s="65" t="str">
        <f>IF(NOT(ISNA(NPS_Data[[#This Row],[CreatedDateTime]])),
   YEAR(NPS_Data[[#This Row],[CreatedDateTime]]) &amp; "-" &amp; TEXT(WEEKNUM(NPS_Data[[#This Row],[CreatedDateTime]],2),"00"),
   "")</f>
        <v>2025-32</v>
      </c>
      <c r="AC71" s="14" t="str">
        <f>IF(NOT(ISNA(NPS_Data[[#This Row],[CreatedDateTime]])), TEXT(NPS_Data[[#This Row],[CreatedDateTime]],"YYYY-MM"), "")</f>
        <v>2025-08</v>
      </c>
      <c r="AD71" s="14" t="str">
        <f>IF(NOT(ISNUMBER(NPS_Data[[#This Row],[ResolutionHours]])),"Open", IF(NPS_Data[[#This Row],[ResolutionHours]]&gt;72,"Breach","OK"))</f>
        <v>Breach</v>
      </c>
      <c r="AE71" s="14">
        <f>IF(AND(ISNUMBER(NPS_Data[[#This Row],[CreatedDateTime]]), ISNUMBER(NPS_Data[[#This Row],[ResolvedDateTime]])), 1, 0)</f>
        <v>1</v>
      </c>
      <c r="AF71" s="48" t="str">
        <f>IF(NOT(ISNA(NPS_Data[[#This Row],[CreatedDateTime]])), TEXT(NPS_Data[[#This Row],[CreatedDateTime]],"dddd"), "")</f>
        <v>Tuesday</v>
      </c>
    </row>
    <row r="72" spans="1:32" x14ac:dyDescent="0.25">
      <c r="A72" s="2" t="s">
        <v>480</v>
      </c>
      <c r="B72" s="2" t="s">
        <v>280</v>
      </c>
      <c r="C72" s="2" t="s">
        <v>481</v>
      </c>
      <c r="D7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45909.778611111113</v>
      </c>
      <c r="E72" s="2" t="s">
        <v>167</v>
      </c>
      <c r="F72" s="2" t="s">
        <v>54</v>
      </c>
      <c r="G72" s="2" t="s">
        <v>482</v>
      </c>
      <c r="H72"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45916.692766203705</v>
      </c>
      <c r="I72" s="2" t="s">
        <v>23</v>
      </c>
      <c r="J72" s="2" t="s">
        <v>23</v>
      </c>
      <c r="K72" s="2" t="s">
        <v>38</v>
      </c>
      <c r="L72" s="2" t="s">
        <v>483</v>
      </c>
      <c r="M72" s="2" t="s">
        <v>484</v>
      </c>
      <c r="N72" s="2" t="s">
        <v>485</v>
      </c>
      <c r="O72" s="2" t="s">
        <v>28</v>
      </c>
      <c r="P72" s="2" t="s">
        <v>148</v>
      </c>
      <c r="Q72" s="3">
        <v>2</v>
      </c>
      <c r="R72" s="2" t="s">
        <v>30</v>
      </c>
      <c r="S72" s="2" t="s">
        <v>31</v>
      </c>
      <c r="T72" s="2" t="str">
        <f>IF(OR(NPS_Data[[#This Row],[CreatedDateTime]]="",NPS_Data[[#This Row],[Assigned To]]="",NPS_Data[[#This Row],[Issue 2 - NPS]]="",NPS_Data[[#This Row],[Program Name]]=""),"Missing","OK")</f>
        <v>OK</v>
      </c>
      <c r="U72" s="2" t="str">
        <f>IF(
  AND(NPS_Data[[#This Row],[Status]]="Complete", OR(ISNA(NPS_Data[[#This Row],[ResolvedDateTime]]), ISBLANK(NPS_Data[[#This Row],[ResolvedDateTime]]))),
  "CompleteNoResolved",
  IF(
    AND(NPS_Data[[#This Row],[Status]]="Pending", NPS_Data[[#This Row],[Sub Status]]="Solved"),
    "PendingButSolved",
    "OK"
  )
)</f>
        <v>OK</v>
      </c>
      <c r="V7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72" s="2" t="str">
        <f>IFERROR(TRIM(CLEAN(NPS_Data[[#This Row],[Ticket All Remarks]])),"")</f>
        <v>Instructor Mike Rodriguez Rajesh Kumar in AIML Jul25 Academy Jul25 Intermediate explains neural networks too fast. Yesterday's backpropagation session covered complex mathematics in 20 minutes without examples. When students ask questions, he just says 'check the slides'. Need detailed mathematical walkthrough. || Resolution: Arranged additional math tutorial sessions with TA support</v>
      </c>
      <c r="X72" s="2" cm="1">
        <f t="array" aca="1" ref="X72" ca="1">IF(NPS_Data[[#This Row],[CleanRemark]]="","",
   SUMPRODUCT(CODE(MID(NPS_Data[[#This Row],[CleanRemark]],ROW(INDIRECT("1:"&amp;LEN(NPS_Data[[#This Row],[CleanRemark]]))),1))))</f>
        <v>36436</v>
      </c>
      <c r="Y72" s="2" t="str">
        <f>IF(COUNTIF(NPS_Data[Ticket No],NPS_Data[[#This Row],[Ticket No]])&gt;1,"Duplicate","OK")</f>
        <v>OK</v>
      </c>
      <c r="Z72" s="2" t="str">
        <f ca="1">IF(NPS_Data[[#This Row],[RemarkHash]]="","OK",
   IF(COUNTIF(NPS_Data[RemarkHash],NPS_Data[[#This Row],[RemarkHash]])&gt;1,"RepeatedRemark","OK"))</f>
        <v>OK</v>
      </c>
      <c r="AA72" s="17">
        <f>IF( AND( ISNUMBER(NPS_Data[[#This Row],[CreatedDateTime]]), ISNUMBER(NPS_Data[[#This Row],[ResolvedDateTime]]) ), (NPS_Data[[#This Row],[ResolvedDateTime]] - NPS_Data[[#This Row],[CreatedDateTime]]) * 24, 0 )</f>
        <v>165.93972222221782</v>
      </c>
      <c r="AB72" s="65" t="str">
        <f>IF(NOT(ISNA(NPS_Data[[#This Row],[CreatedDateTime]])),
   YEAR(NPS_Data[[#This Row],[CreatedDateTime]]) &amp; "-" &amp; TEXT(WEEKNUM(NPS_Data[[#This Row],[CreatedDateTime]],2),"00"),
   "")</f>
        <v>2025-37</v>
      </c>
      <c r="AC72" s="14" t="str">
        <f>IF(NOT(ISNA(NPS_Data[[#This Row],[CreatedDateTime]])), TEXT(NPS_Data[[#This Row],[CreatedDateTime]],"YYYY-MM"), "")</f>
        <v>2025-09</v>
      </c>
      <c r="AD72" s="14" t="str">
        <f>IF(NOT(ISNUMBER(NPS_Data[[#This Row],[ResolutionHours]])),"Open", IF(NPS_Data[[#This Row],[ResolutionHours]]&gt;72,"Breach","OK"))</f>
        <v>Breach</v>
      </c>
      <c r="AE72" s="14">
        <f>IF(AND(ISNUMBER(NPS_Data[[#This Row],[CreatedDateTime]]), ISNUMBER(NPS_Data[[#This Row],[ResolvedDateTime]])), 1, 0)</f>
        <v>1</v>
      </c>
      <c r="AF72" s="48" t="str">
        <f>IF(NOT(ISNA(NPS_Data[[#This Row],[CreatedDateTime]])), TEXT(NPS_Data[[#This Row],[CreatedDateTime]],"dddd"), "")</f>
        <v>Tuesday</v>
      </c>
    </row>
    <row r="73" spans="1:32" x14ac:dyDescent="0.25">
      <c r="A73" s="2" t="s">
        <v>486</v>
      </c>
      <c r="B73" s="2" t="s">
        <v>63</v>
      </c>
      <c r="C73" s="2" t="s">
        <v>487</v>
      </c>
      <c r="D7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45921.799328703702</v>
      </c>
      <c r="E73" s="2" t="s">
        <v>35</v>
      </c>
      <c r="H73"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73" s="2" t="s">
        <v>23</v>
      </c>
      <c r="J73" s="2" t="s">
        <v>23</v>
      </c>
      <c r="K73" s="2" t="s">
        <v>24</v>
      </c>
      <c r="L73" s="2" t="s">
        <v>488</v>
      </c>
      <c r="M73" s="2" t="s">
        <v>489</v>
      </c>
      <c r="N73" s="2" t="s">
        <v>490</v>
      </c>
      <c r="O73" s="2" t="s">
        <v>28</v>
      </c>
      <c r="P73" s="2" t="s">
        <v>125</v>
      </c>
      <c r="Q73" s="3">
        <v>4</v>
      </c>
      <c r="R73" s="2" t="s">
        <v>49</v>
      </c>
      <c r="S73" s="2" t="s">
        <v>116</v>
      </c>
      <c r="T73" s="2" t="str">
        <f>IF(OR(NPS_Data[[#This Row],[CreatedDateTime]]="",NPS_Data[[#This Row],[Assigned To]]="",NPS_Data[[#This Row],[Issue 2 - NPS]]="",NPS_Data[[#This Row],[Program Name]]=""),"Missing","OK")</f>
        <v>OK</v>
      </c>
      <c r="U73" s="2" t="str">
        <f>IF(
  AND(NPS_Data[[#This Row],[Status]]="Complete", OR(ISNA(NPS_Data[[#This Row],[ResolvedDateTime]]), ISBLANK(NPS_Data[[#This Row],[ResolvedDateTime]]))),
  "CompleteNoResolved",
  IF(
    AND(NPS_Data[[#This Row],[Status]]="Pending", NPS_Data[[#This Row],[Sub Status]]="Solved"),
    "PendingButSolved",
    "OK"
  )
)</f>
        <v>OK</v>
      </c>
      <c r="V7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73" s="2" t="str">
        <f>IFERROR(TRIM(CLEAN(NPS_Data[[#This Row],[Ticket All Remarks]])),"")</f>
        <v>TA support only available during office hours. Working professionals need evening and weekend support for assignment debugging and concept clarification. || Resolution: Extended TA support hours to include evenings and Saturday coverage</v>
      </c>
      <c r="X73" s="2" cm="1">
        <f t="array" aca="1" ref="X73" ca="1">IF(NPS_Data[[#This Row],[CleanRemark]]="","",
   SUMPRODUCT(CODE(MID(NPS_Data[[#This Row],[CleanRemark]],ROW(INDIRECT("1:"&amp;LEN(NPS_Data[[#This Row],[CleanRemark]]))),1))))</f>
        <v>22698</v>
      </c>
      <c r="Y73" s="2" t="str">
        <f>IF(COUNTIF(NPS_Data[Ticket No],NPS_Data[[#This Row],[Ticket No]])&gt;1,"Duplicate","OK")</f>
        <v>OK</v>
      </c>
      <c r="Z73" s="2" t="str">
        <f ca="1">IF(NPS_Data[[#This Row],[RemarkHash]]="","OK",
   IF(COUNTIF(NPS_Data[RemarkHash],NPS_Data[[#This Row],[RemarkHash]])&gt;1,"RepeatedRemark","OK"))</f>
        <v>RepeatedRemark</v>
      </c>
      <c r="AA73" s="17">
        <f>IF( AND( ISNUMBER(NPS_Data[[#This Row],[CreatedDateTime]]), ISNUMBER(NPS_Data[[#This Row],[ResolvedDateTime]]) ), (NPS_Data[[#This Row],[ResolvedDateTime]] - NPS_Data[[#This Row],[CreatedDateTime]]) * 24, 0 )</f>
        <v>0</v>
      </c>
      <c r="AB73" s="65" t="str">
        <f>IF(NOT(ISNA(NPS_Data[[#This Row],[CreatedDateTime]])),
   YEAR(NPS_Data[[#This Row],[CreatedDateTime]]) &amp; "-" &amp; TEXT(WEEKNUM(NPS_Data[[#This Row],[CreatedDateTime]],2),"00"),
   "")</f>
        <v>2025-38</v>
      </c>
      <c r="AC73" s="14" t="str">
        <f>IF(NOT(ISNA(NPS_Data[[#This Row],[CreatedDateTime]])), TEXT(NPS_Data[[#This Row],[CreatedDateTime]],"YYYY-MM"), "")</f>
        <v>2025-09</v>
      </c>
      <c r="AD73" s="14" t="str">
        <f>IF(NOT(ISNUMBER(NPS_Data[[#This Row],[ResolutionHours]])),"Open", IF(NPS_Data[[#This Row],[ResolutionHours]]&gt;72,"Breach","OK"))</f>
        <v>OK</v>
      </c>
      <c r="AE73" s="14">
        <f>IF(AND(ISNUMBER(NPS_Data[[#This Row],[CreatedDateTime]]), ISNUMBER(NPS_Data[[#This Row],[ResolvedDateTime]])), 1, 0)</f>
        <v>0</v>
      </c>
      <c r="AF73" s="48" t="str">
        <f>IF(NOT(ISNA(NPS_Data[[#This Row],[CreatedDateTime]])), TEXT(NPS_Data[[#This Row],[CreatedDateTime]],"dddd"), "")</f>
        <v>Sunday</v>
      </c>
    </row>
    <row r="74" spans="1:32" x14ac:dyDescent="0.25">
      <c r="A74" s="2" t="s">
        <v>491</v>
      </c>
      <c r="B74" s="2" t="s">
        <v>492</v>
      </c>
      <c r="C74" s="2" t="s">
        <v>493</v>
      </c>
      <c r="D7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45894.587905092594</v>
      </c>
      <c r="E74" s="2" t="s">
        <v>104</v>
      </c>
      <c r="F74" s="2" t="s">
        <v>191</v>
      </c>
      <c r="G74" s="2" t="s">
        <v>494</v>
      </c>
      <c r="H74"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45900.752662037034</v>
      </c>
      <c r="I74" s="2" t="s">
        <v>23</v>
      </c>
      <c r="J74" s="2" t="s">
        <v>23</v>
      </c>
      <c r="K74" s="2" t="s">
        <v>24</v>
      </c>
      <c r="L74" s="2" t="s">
        <v>495</v>
      </c>
      <c r="M74" s="2" t="s">
        <v>496</v>
      </c>
      <c r="N74" s="2" t="s">
        <v>490</v>
      </c>
      <c r="O74" s="2" t="s">
        <v>48</v>
      </c>
      <c r="P74" s="2" t="s">
        <v>125</v>
      </c>
      <c r="Q74" s="3">
        <v>10</v>
      </c>
      <c r="R74" s="2" t="s">
        <v>30</v>
      </c>
      <c r="S74" s="2" t="s">
        <v>31</v>
      </c>
      <c r="T74" s="2" t="str">
        <f>IF(OR(NPS_Data[[#This Row],[CreatedDateTime]]="",NPS_Data[[#This Row],[Assigned To]]="",NPS_Data[[#This Row],[Issue 2 - NPS]]="",NPS_Data[[#This Row],[Program Name]]=""),"Missing","OK")</f>
        <v>OK</v>
      </c>
      <c r="U74" s="2" t="str">
        <f>IF(
  AND(NPS_Data[[#This Row],[Status]]="Complete", OR(ISNA(NPS_Data[[#This Row],[ResolvedDateTime]]), ISBLANK(NPS_Data[[#This Row],[ResolvedDateTime]]))),
  "CompleteNoResolved",
  IF(
    AND(NPS_Data[[#This Row],[Status]]="Pending", NPS_Data[[#This Row],[Sub Status]]="Solved"),
    "PendingButSolved",
    "OK"
  )
)</f>
        <v>OK</v>
      </c>
      <c r="V7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74" s="2" t="str">
        <f>IFERROR(TRIM(CLEAN(NPS_Data[[#This Row],[Ticket All Remarks]])),"")</f>
        <v>TA support only available during office hours. Working professionals need evening and weekend support for assignment debugging and concept clarification. || Resolution: Extended TA support hours to include evenings and Saturday coverage</v>
      </c>
      <c r="X74" s="2" cm="1">
        <f t="array" aca="1" ref="X74" ca="1">IF(NPS_Data[[#This Row],[CleanRemark]]="","",
   SUMPRODUCT(CODE(MID(NPS_Data[[#This Row],[CleanRemark]],ROW(INDIRECT("1:"&amp;LEN(NPS_Data[[#This Row],[CleanRemark]]))),1))))</f>
        <v>22698</v>
      </c>
      <c r="Y74" s="2" t="str">
        <f>IF(COUNTIF(NPS_Data[Ticket No],NPS_Data[[#This Row],[Ticket No]])&gt;1,"Duplicate","OK")</f>
        <v>OK</v>
      </c>
      <c r="Z74" s="2" t="str">
        <f ca="1">IF(NPS_Data[[#This Row],[RemarkHash]]="","OK",
   IF(COUNTIF(NPS_Data[RemarkHash],NPS_Data[[#This Row],[RemarkHash]])&gt;1,"RepeatedRemark","OK"))</f>
        <v>RepeatedRemark</v>
      </c>
      <c r="AA74" s="17">
        <f>IF( AND( ISNUMBER(NPS_Data[[#This Row],[CreatedDateTime]]), ISNUMBER(NPS_Data[[#This Row],[ResolvedDateTime]]) ), (NPS_Data[[#This Row],[ResolvedDateTime]] - NPS_Data[[#This Row],[CreatedDateTime]]) * 24, 0 )</f>
        <v>147.95416666654637</v>
      </c>
      <c r="AB74" s="65" t="str">
        <f>IF(NOT(ISNA(NPS_Data[[#This Row],[CreatedDateTime]])),
   YEAR(NPS_Data[[#This Row],[CreatedDateTime]]) &amp; "-" &amp; TEXT(WEEKNUM(NPS_Data[[#This Row],[CreatedDateTime]],2),"00"),
   "")</f>
        <v>2025-35</v>
      </c>
      <c r="AC74" s="14" t="str">
        <f>IF(NOT(ISNA(NPS_Data[[#This Row],[CreatedDateTime]])), TEXT(NPS_Data[[#This Row],[CreatedDateTime]],"YYYY-MM"), "")</f>
        <v>2025-08</v>
      </c>
      <c r="AD74" s="14" t="str">
        <f>IF(NOT(ISNUMBER(NPS_Data[[#This Row],[ResolutionHours]])),"Open", IF(NPS_Data[[#This Row],[ResolutionHours]]&gt;72,"Breach","OK"))</f>
        <v>Breach</v>
      </c>
      <c r="AE74" s="14">
        <f>IF(AND(ISNUMBER(NPS_Data[[#This Row],[CreatedDateTime]]), ISNUMBER(NPS_Data[[#This Row],[ResolvedDateTime]])), 1, 0)</f>
        <v>1</v>
      </c>
      <c r="AF74" s="48" t="str">
        <f>IF(NOT(ISNA(NPS_Data[[#This Row],[CreatedDateTime]])), TEXT(NPS_Data[[#This Row],[CreatedDateTime]],"dddd"), "")</f>
        <v>Monday</v>
      </c>
    </row>
    <row r="75" spans="1:32" x14ac:dyDescent="0.25">
      <c r="A75" s="2" t="s">
        <v>497</v>
      </c>
      <c r="B75" s="2" t="s">
        <v>36</v>
      </c>
      <c r="C75" s="2" t="s">
        <v>498</v>
      </c>
      <c r="D7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45912.781307870369</v>
      </c>
      <c r="E75" s="2" t="s">
        <v>44</v>
      </c>
      <c r="F75" s="2" t="s">
        <v>211</v>
      </c>
      <c r="G75" s="2" t="s">
        <v>499</v>
      </c>
      <c r="H75"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45918.570648148147</v>
      </c>
      <c r="I75" s="2" t="s">
        <v>23</v>
      </c>
      <c r="J75" s="2" t="s">
        <v>23</v>
      </c>
      <c r="K75" s="2" t="s">
        <v>88</v>
      </c>
      <c r="L75" s="2" t="s">
        <v>500</v>
      </c>
      <c r="M75" s="2" t="s">
        <v>501</v>
      </c>
      <c r="N75" s="2" t="s">
        <v>502</v>
      </c>
      <c r="O75" s="2" t="s">
        <v>41</v>
      </c>
      <c r="P75" s="2" t="s">
        <v>242</v>
      </c>
      <c r="Q75" s="3">
        <v>8</v>
      </c>
      <c r="R75" s="2" t="s">
        <v>30</v>
      </c>
      <c r="S75" s="2" t="s">
        <v>31</v>
      </c>
      <c r="T75" s="2" t="str">
        <f>IF(OR(NPS_Data[[#This Row],[CreatedDateTime]]="",NPS_Data[[#This Row],[Assigned To]]="",NPS_Data[[#This Row],[Issue 2 - NPS]]="",NPS_Data[[#This Row],[Program Name]]=""),"Missing","OK")</f>
        <v>OK</v>
      </c>
      <c r="U75" s="2" t="str">
        <f>IF(
  AND(NPS_Data[[#This Row],[Status]]="Complete", OR(ISNA(NPS_Data[[#This Row],[ResolvedDateTime]]), ISBLANK(NPS_Data[[#This Row],[ResolvedDateTime]]))),
  "CompleteNoResolved",
  IF(
    AND(NPS_Data[[#This Row],[Status]]="Pending", NPS_Data[[#This Row],[Sub Status]]="Solved"),
    "PendingButSolved",
    "OK"
  )
)</f>
        <v>OK</v>
      </c>
      <c r="V7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75" s="2" t="str">
        <f>IFERROR(TRIM(CLEAN(NPS_Data[[#This Row],[Ticket All Remarks]])),"")</f>
        <v>Resume highlighting DSML completion not attracting ML Engineer positions. Only getting data entry or analyst roles below skill level and salary expectations. || Resolution: Added ML portfolio projects and technical blog writing to demonstrate expertise</v>
      </c>
      <c r="X75" s="2" cm="1">
        <f t="array" aca="1" ref="X75" ca="1">IF(NPS_Data[[#This Row],[CleanRemark]]="","",
   SUMPRODUCT(CODE(MID(NPS_Data[[#This Row],[CleanRemark]],ROW(INDIRECT("1:"&amp;LEN(NPS_Data[[#This Row],[CleanRemark]]))),1))))</f>
        <v>24102</v>
      </c>
      <c r="Y75" s="2" t="str">
        <f>IF(COUNTIF(NPS_Data[Ticket No],NPS_Data[[#This Row],[Ticket No]])&gt;1,"Duplicate","OK")</f>
        <v>OK</v>
      </c>
      <c r="Z75" s="2" t="str">
        <f ca="1">IF(NPS_Data[[#This Row],[RemarkHash]]="","OK",
   IF(COUNTIF(NPS_Data[RemarkHash],NPS_Data[[#This Row],[RemarkHash]])&gt;1,"RepeatedRemark","OK"))</f>
        <v>RepeatedRemark</v>
      </c>
      <c r="AA75" s="17">
        <f>IF( AND( ISNUMBER(NPS_Data[[#This Row],[CreatedDateTime]]), ISNUMBER(NPS_Data[[#This Row],[ResolvedDateTime]]) ), (NPS_Data[[#This Row],[ResolvedDateTime]] - NPS_Data[[#This Row],[CreatedDateTime]]) * 24, 0 )</f>
        <v>138.94416666665347</v>
      </c>
      <c r="AB75" s="65" t="str">
        <f>IF(NOT(ISNA(NPS_Data[[#This Row],[CreatedDateTime]])),
   YEAR(NPS_Data[[#This Row],[CreatedDateTime]]) &amp; "-" &amp; TEXT(WEEKNUM(NPS_Data[[#This Row],[CreatedDateTime]],2),"00"),
   "")</f>
        <v>2025-37</v>
      </c>
      <c r="AC75" s="14" t="str">
        <f>IF(NOT(ISNA(NPS_Data[[#This Row],[CreatedDateTime]])), TEXT(NPS_Data[[#This Row],[CreatedDateTime]],"YYYY-MM"), "")</f>
        <v>2025-09</v>
      </c>
      <c r="AD75" s="14" t="str">
        <f>IF(NOT(ISNUMBER(NPS_Data[[#This Row],[ResolutionHours]])),"Open", IF(NPS_Data[[#This Row],[ResolutionHours]]&gt;72,"Breach","OK"))</f>
        <v>Breach</v>
      </c>
      <c r="AE75" s="14">
        <f>IF(AND(ISNUMBER(NPS_Data[[#This Row],[CreatedDateTime]]), ISNUMBER(NPS_Data[[#This Row],[ResolvedDateTime]])), 1, 0)</f>
        <v>1</v>
      </c>
      <c r="AF75" s="48" t="str">
        <f>IF(NOT(ISNA(NPS_Data[[#This Row],[CreatedDateTime]])), TEXT(NPS_Data[[#This Row],[CreatedDateTime]],"dddd"), "")</f>
        <v>Friday</v>
      </c>
    </row>
    <row r="76" spans="1:32" x14ac:dyDescent="0.25">
      <c r="A76" s="2" t="s">
        <v>503</v>
      </c>
      <c r="B76" s="2" t="s">
        <v>413</v>
      </c>
      <c r="C76" s="2" t="s">
        <v>504</v>
      </c>
      <c r="D7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45917.584293981483</v>
      </c>
      <c r="E76" s="2" t="s">
        <v>44</v>
      </c>
      <c r="H76"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76" s="2" t="s">
        <v>23</v>
      </c>
      <c r="J76" s="2" t="s">
        <v>23</v>
      </c>
      <c r="K76" s="2" t="s">
        <v>56</v>
      </c>
      <c r="L76" s="2" t="s">
        <v>505</v>
      </c>
      <c r="M76" s="2" t="s">
        <v>506</v>
      </c>
      <c r="N76" s="2" t="s">
        <v>27</v>
      </c>
      <c r="O76" s="2" t="s">
        <v>28</v>
      </c>
      <c r="P76" s="2" t="s">
        <v>29</v>
      </c>
      <c r="Q76" s="3">
        <v>6</v>
      </c>
      <c r="R76" s="2" t="s">
        <v>49</v>
      </c>
      <c r="S76" s="2" t="s">
        <v>50</v>
      </c>
      <c r="T76" s="2" t="str">
        <f>IF(OR(NPS_Data[[#This Row],[CreatedDateTime]]="",NPS_Data[[#This Row],[Assigned To]]="",NPS_Data[[#This Row],[Issue 2 - NPS]]="",NPS_Data[[#This Row],[Program Name]]=""),"Missing","OK")</f>
        <v>OK</v>
      </c>
      <c r="U76" s="2" t="str">
        <f>IF(
  AND(NPS_Data[[#This Row],[Status]]="Complete", OR(ISNA(NPS_Data[[#This Row],[ResolvedDateTime]]), ISBLANK(NPS_Data[[#This Row],[ResolvedDateTime]]))),
  "CompleteNoResolved",
  IF(
    AND(NPS_Data[[#This Row],[Status]]="Pending", NPS_Data[[#This Row],[Sub Status]]="Solved"),
    "PendingButSolved",
    "OK"
  )
)</f>
        <v>OK</v>
      </c>
      <c r="V7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76" s="2" t="str">
        <f>IFERROR(TRIM(CLEAN(NPS_Data[[#This Row],[Ticket All Remarks]])),"")</f>
        <v>No code review feedback provided for assignments. Submitting working solutions but don't know if following best practices or industry standards. || Resolution: Introduced mandatory code review sessions with senior developers</v>
      </c>
      <c r="X76" s="2" cm="1">
        <f t="array" aca="1" ref="X76" ca="1">IF(NPS_Data[[#This Row],[CleanRemark]]="","",
   SUMPRODUCT(CODE(MID(NPS_Data[[#This Row],[CleanRemark]],ROW(INDIRECT("1:"&amp;LEN(NPS_Data[[#This Row],[CleanRemark]]))),1))))</f>
        <v>21754</v>
      </c>
      <c r="Y76" s="2" t="str">
        <f>IF(COUNTIF(NPS_Data[Ticket No],NPS_Data[[#This Row],[Ticket No]])&gt;1,"Duplicate","OK")</f>
        <v>OK</v>
      </c>
      <c r="Z76" s="2" t="str">
        <f ca="1">IF(NPS_Data[[#This Row],[RemarkHash]]="","OK",
   IF(COUNTIF(NPS_Data[RemarkHash],NPS_Data[[#This Row],[RemarkHash]])&gt;1,"RepeatedRemark","OK"))</f>
        <v>RepeatedRemark</v>
      </c>
      <c r="AA76" s="17">
        <f>IF( AND( ISNUMBER(NPS_Data[[#This Row],[CreatedDateTime]]), ISNUMBER(NPS_Data[[#This Row],[ResolvedDateTime]]) ), (NPS_Data[[#This Row],[ResolvedDateTime]] - NPS_Data[[#This Row],[CreatedDateTime]]) * 24, 0 )</f>
        <v>0</v>
      </c>
      <c r="AB76" s="65" t="str">
        <f>IF(NOT(ISNA(NPS_Data[[#This Row],[CreatedDateTime]])),
   YEAR(NPS_Data[[#This Row],[CreatedDateTime]]) &amp; "-" &amp; TEXT(WEEKNUM(NPS_Data[[#This Row],[CreatedDateTime]],2),"00"),
   "")</f>
        <v>2025-38</v>
      </c>
      <c r="AC76" s="14" t="str">
        <f>IF(NOT(ISNA(NPS_Data[[#This Row],[CreatedDateTime]])), TEXT(NPS_Data[[#This Row],[CreatedDateTime]],"YYYY-MM"), "")</f>
        <v>2025-09</v>
      </c>
      <c r="AD76" s="14" t="str">
        <f>IF(NOT(ISNUMBER(NPS_Data[[#This Row],[ResolutionHours]])),"Open", IF(NPS_Data[[#This Row],[ResolutionHours]]&gt;72,"Breach","OK"))</f>
        <v>OK</v>
      </c>
      <c r="AE76" s="14">
        <f>IF(AND(ISNUMBER(NPS_Data[[#This Row],[CreatedDateTime]]), ISNUMBER(NPS_Data[[#This Row],[ResolvedDateTime]])), 1, 0)</f>
        <v>0</v>
      </c>
      <c r="AF76" s="48" t="str">
        <f>IF(NOT(ISNA(NPS_Data[[#This Row],[CreatedDateTime]])), TEXT(NPS_Data[[#This Row],[CreatedDateTime]],"dddd"), "")</f>
        <v>Wednesday</v>
      </c>
    </row>
    <row r="77" spans="1:32" x14ac:dyDescent="0.25">
      <c r="A77" s="2" t="s">
        <v>507</v>
      </c>
      <c r="B77" s="2" t="s">
        <v>127</v>
      </c>
      <c r="C77" s="2" t="s">
        <v>508</v>
      </c>
      <c r="D7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45878.766770833332</v>
      </c>
      <c r="E77" s="2" t="s">
        <v>219</v>
      </c>
      <c r="H77"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77" s="2" t="s">
        <v>23</v>
      </c>
      <c r="J77" s="2" t="s">
        <v>23</v>
      </c>
      <c r="K77" s="2" t="s">
        <v>24</v>
      </c>
      <c r="L77" s="2" t="s">
        <v>509</v>
      </c>
      <c r="M77" s="2" t="s">
        <v>510</v>
      </c>
      <c r="N77" s="2" t="s">
        <v>511</v>
      </c>
      <c r="O77" s="2" t="s">
        <v>28</v>
      </c>
      <c r="P77" s="2" t="s">
        <v>216</v>
      </c>
      <c r="Q77" s="3">
        <v>2</v>
      </c>
      <c r="R77" s="2" t="s">
        <v>30</v>
      </c>
      <c r="S77" s="2" t="s">
        <v>31</v>
      </c>
      <c r="T77" s="2" t="str">
        <f>IF(OR(NPS_Data[[#This Row],[CreatedDateTime]]="",NPS_Data[[#This Row],[Assigned To]]="",NPS_Data[[#This Row],[Issue 2 - NPS]]="",NPS_Data[[#This Row],[Program Name]]=""),"Missing","OK")</f>
        <v>OK</v>
      </c>
      <c r="U77" s="2" t="str">
        <f>IF(
  AND(NPS_Data[[#This Row],[Status]]="Complete", OR(ISNA(NPS_Data[[#This Row],[ResolvedDateTime]]), ISBLANK(NPS_Data[[#This Row],[ResolvedDateTime]]))),
  "CompleteNoResolved",
  IF(
    AND(NPS_Data[[#This Row],[Status]]="Pending", NPS_Data[[#This Row],[Sub Status]]="Solved"),
    "PendingButSolved",
    "OK"
  )
)</f>
        <v>OK</v>
      </c>
      <c r="V7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77" s="2" t="str">
        <f>IFERROR(TRIM(CLEAN(NPS_Data[[#This Row],[Ticket All Remarks]])),"")</f>
        <v>Mentor scheduling conflicts with work hours. Only available 11 AM - 2 PM when I'm in office meetings. Need evening or weekend availability. || Resolution: Matched with mentor having flexible evening availability</v>
      </c>
      <c r="X77" s="2" cm="1">
        <f t="array" aca="1" ref="X77" ca="1">IF(NPS_Data[[#This Row],[CleanRemark]]="","",
   SUMPRODUCT(CODE(MID(NPS_Data[[#This Row],[CleanRemark]],ROW(INDIRECT("1:"&amp;LEN(NPS_Data[[#This Row],[CleanRemark]]))),1))))</f>
        <v>19482</v>
      </c>
      <c r="Y77" s="2" t="str">
        <f>IF(COUNTIF(NPS_Data[Ticket No],NPS_Data[[#This Row],[Ticket No]])&gt;1,"Duplicate","OK")</f>
        <v>OK</v>
      </c>
      <c r="Z77" s="2" t="str">
        <f ca="1">IF(NPS_Data[[#This Row],[RemarkHash]]="","OK",
   IF(COUNTIF(NPS_Data[RemarkHash],NPS_Data[[#This Row],[RemarkHash]])&gt;1,"RepeatedRemark","OK"))</f>
        <v>OK</v>
      </c>
      <c r="AA77" s="17">
        <f>IF( AND( ISNUMBER(NPS_Data[[#This Row],[CreatedDateTime]]), ISNUMBER(NPS_Data[[#This Row],[ResolvedDateTime]]) ), (NPS_Data[[#This Row],[ResolvedDateTime]] - NPS_Data[[#This Row],[CreatedDateTime]]) * 24, 0 )</f>
        <v>0</v>
      </c>
      <c r="AB77" s="65" t="str">
        <f>IF(NOT(ISNA(NPS_Data[[#This Row],[CreatedDateTime]])),
   YEAR(NPS_Data[[#This Row],[CreatedDateTime]]) &amp; "-" &amp; TEXT(WEEKNUM(NPS_Data[[#This Row],[CreatedDateTime]],2),"00"),
   "")</f>
        <v>2025-32</v>
      </c>
      <c r="AC77" s="14" t="str">
        <f>IF(NOT(ISNA(NPS_Data[[#This Row],[CreatedDateTime]])), TEXT(NPS_Data[[#This Row],[CreatedDateTime]],"YYYY-MM"), "")</f>
        <v>2025-08</v>
      </c>
      <c r="AD77" s="14" t="str">
        <f>IF(NOT(ISNUMBER(NPS_Data[[#This Row],[ResolutionHours]])),"Open", IF(NPS_Data[[#This Row],[ResolutionHours]]&gt;72,"Breach","OK"))</f>
        <v>OK</v>
      </c>
      <c r="AE77" s="14">
        <f>IF(AND(ISNUMBER(NPS_Data[[#This Row],[CreatedDateTime]]), ISNUMBER(NPS_Data[[#This Row],[ResolvedDateTime]])), 1, 0)</f>
        <v>0</v>
      </c>
      <c r="AF77" s="48" t="str">
        <f>IF(NOT(ISNA(NPS_Data[[#This Row],[CreatedDateTime]])), TEXT(NPS_Data[[#This Row],[CreatedDateTime]],"dddd"), "")</f>
        <v>Saturday</v>
      </c>
    </row>
    <row r="78" spans="1:32" x14ac:dyDescent="0.25">
      <c r="A78" s="2" t="s">
        <v>512</v>
      </c>
      <c r="B78" s="2" t="s">
        <v>513</v>
      </c>
      <c r="C78" s="2" t="s">
        <v>514</v>
      </c>
      <c r="D7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45893.718969907408</v>
      </c>
      <c r="E78" s="2" t="s">
        <v>87</v>
      </c>
      <c r="H78"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78" s="2" t="s">
        <v>23</v>
      </c>
      <c r="J78" s="2" t="s">
        <v>23</v>
      </c>
      <c r="K78" s="2" t="s">
        <v>38</v>
      </c>
      <c r="L78" s="2" t="s">
        <v>515</v>
      </c>
      <c r="M78" s="2" t="s">
        <v>516</v>
      </c>
      <c r="N78" s="2" t="s">
        <v>297</v>
      </c>
      <c r="O78" s="2" t="s">
        <v>41</v>
      </c>
      <c r="P78" s="2" t="s">
        <v>285</v>
      </c>
      <c r="Q78" s="3">
        <v>3</v>
      </c>
      <c r="R78" s="2" t="s">
        <v>30</v>
      </c>
      <c r="S78" s="2" t="s">
        <v>31</v>
      </c>
      <c r="T78" s="2" t="str">
        <f>IF(OR(NPS_Data[[#This Row],[CreatedDateTime]]="",NPS_Data[[#This Row],[Assigned To]]="",NPS_Data[[#This Row],[Issue 2 - NPS]]="",NPS_Data[[#This Row],[Program Name]]=""),"Missing","OK")</f>
        <v>OK</v>
      </c>
      <c r="U78" s="2" t="str">
        <f>IF(
  AND(NPS_Data[[#This Row],[Status]]="Complete", OR(ISNA(NPS_Data[[#This Row],[ResolvedDateTime]]), ISBLANK(NPS_Data[[#This Row],[ResolvedDateTime]]))),
  "CompleteNoResolved",
  IF(
    AND(NPS_Data[[#This Row],[Status]]="Pending", NPS_Data[[#This Row],[Sub Status]]="Solved"),
    "PendingButSolved",
    "OK"
  )
)</f>
        <v>OK</v>
      </c>
      <c r="V7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78" s="2" t="str">
        <f>IFERROR(TRIM(CLEAN(NPS_Data[[#This Row],[Ticket All Remarks]])),"")</f>
        <v>No downloadable notes provided for complex topics. Difficult to review mathematical formulas and algorithms without written reference material. || Resolution: Created comprehensive downloadable study guides for all modules</v>
      </c>
      <c r="X78" s="2" cm="1">
        <f t="array" aca="1" ref="X78" ca="1">IF(NPS_Data[[#This Row],[CleanRemark]]="","",
   SUMPRODUCT(CODE(MID(NPS_Data[[#This Row],[CleanRemark]],ROW(INDIRECT("1:"&amp;LEN(NPS_Data[[#This Row],[CleanRemark]]))),1))))</f>
        <v>21599</v>
      </c>
      <c r="Y78" s="2" t="str">
        <f>IF(COUNTIF(NPS_Data[Ticket No],NPS_Data[[#This Row],[Ticket No]])&gt;1,"Duplicate","OK")</f>
        <v>OK</v>
      </c>
      <c r="Z78" s="2" t="str">
        <f ca="1">IF(NPS_Data[[#This Row],[RemarkHash]]="","OK",
   IF(COUNTIF(NPS_Data[RemarkHash],NPS_Data[[#This Row],[RemarkHash]])&gt;1,"RepeatedRemark","OK"))</f>
        <v>RepeatedRemark</v>
      </c>
      <c r="AA78" s="17">
        <f>IF( AND( ISNUMBER(NPS_Data[[#This Row],[CreatedDateTime]]), ISNUMBER(NPS_Data[[#This Row],[ResolvedDateTime]]) ), (NPS_Data[[#This Row],[ResolvedDateTime]] - NPS_Data[[#This Row],[CreatedDateTime]]) * 24, 0 )</f>
        <v>0</v>
      </c>
      <c r="AB78" s="65" t="str">
        <f>IF(NOT(ISNA(NPS_Data[[#This Row],[CreatedDateTime]])),
   YEAR(NPS_Data[[#This Row],[CreatedDateTime]]) &amp; "-" &amp; TEXT(WEEKNUM(NPS_Data[[#This Row],[CreatedDateTime]],2),"00"),
   "")</f>
        <v>2025-34</v>
      </c>
      <c r="AC78" s="14" t="str">
        <f>IF(NOT(ISNA(NPS_Data[[#This Row],[CreatedDateTime]])), TEXT(NPS_Data[[#This Row],[CreatedDateTime]],"YYYY-MM"), "")</f>
        <v>2025-08</v>
      </c>
      <c r="AD78" s="14" t="str">
        <f>IF(NOT(ISNUMBER(NPS_Data[[#This Row],[ResolutionHours]])),"Open", IF(NPS_Data[[#This Row],[ResolutionHours]]&gt;72,"Breach","OK"))</f>
        <v>OK</v>
      </c>
      <c r="AE78" s="14">
        <f>IF(AND(ISNUMBER(NPS_Data[[#This Row],[CreatedDateTime]]), ISNUMBER(NPS_Data[[#This Row],[ResolvedDateTime]])), 1, 0)</f>
        <v>0</v>
      </c>
      <c r="AF78" s="48" t="str">
        <f>IF(NOT(ISNA(NPS_Data[[#This Row],[CreatedDateTime]])), TEXT(NPS_Data[[#This Row],[CreatedDateTime]],"dddd"), "")</f>
        <v>Sunday</v>
      </c>
    </row>
    <row r="79" spans="1:32" x14ac:dyDescent="0.25">
      <c r="A79" s="2" t="s">
        <v>517</v>
      </c>
      <c r="B79" s="2" t="s">
        <v>331</v>
      </c>
      <c r="C79" s="2" t="s">
        <v>518</v>
      </c>
      <c r="D7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45919.544224537036</v>
      </c>
      <c r="E79" s="2" t="s">
        <v>87</v>
      </c>
      <c r="F79" s="2" t="s">
        <v>519</v>
      </c>
      <c r="G79" s="2" t="s">
        <v>520</v>
      </c>
      <c r="H79"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45928.6325462963</v>
      </c>
      <c r="I79" s="2" t="s">
        <v>23</v>
      </c>
      <c r="J79" s="2" t="s">
        <v>23</v>
      </c>
      <c r="K79" s="2" t="s">
        <v>88</v>
      </c>
      <c r="L79" s="2" t="s">
        <v>521</v>
      </c>
      <c r="M79" s="2" t="s">
        <v>522</v>
      </c>
      <c r="N79" s="2" t="s">
        <v>91</v>
      </c>
      <c r="O79" s="2" t="s">
        <v>177</v>
      </c>
      <c r="P79" s="2" t="s">
        <v>92</v>
      </c>
      <c r="Q79" s="3">
        <v>6</v>
      </c>
      <c r="R79" s="2" t="s">
        <v>30</v>
      </c>
      <c r="S79" s="2" t="s">
        <v>31</v>
      </c>
      <c r="T79" s="2" t="str">
        <f>IF(OR(NPS_Data[[#This Row],[CreatedDateTime]]="",NPS_Data[[#This Row],[Assigned To]]="",NPS_Data[[#This Row],[Issue 2 - NPS]]="",NPS_Data[[#This Row],[Program Name]]=""),"Missing","OK")</f>
        <v>OK</v>
      </c>
      <c r="U79" s="2" t="str">
        <f>IF(
  AND(NPS_Data[[#This Row],[Status]]="Complete", OR(ISNA(NPS_Data[[#This Row],[ResolvedDateTime]]), ISBLANK(NPS_Data[[#This Row],[ResolvedDateTime]]))),
  "CompleteNoResolved",
  IF(
    AND(NPS_Data[[#This Row],[Status]]="Pending", NPS_Data[[#This Row],[Sub Status]]="Solved"),
    "PendingButSolved",
    "OK"
  )
)</f>
        <v>OK</v>
      </c>
      <c r="V7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79" s="2" t="str">
        <f>IFERROR(TRIM(CLEAN(NPS_Data[[#This Row],[Ticket All Remarks]])),"")</f>
        <v>Considering career break for higher studies (MS abroad). Need advice on timing, university selection, and maintaining professional network during studies. || Resolution: Provided comprehensive higher education guidance and alumni connections</v>
      </c>
      <c r="X79" s="2" cm="1">
        <f t="array" aca="1" ref="X79" ca="1">IF(NPS_Data[[#This Row],[CleanRemark]]="","",
   SUMPRODUCT(CODE(MID(NPS_Data[[#This Row],[CleanRemark]],ROW(INDIRECT("1:"&amp;LEN(NPS_Data[[#This Row],[CleanRemark]]))),1))))</f>
        <v>23075</v>
      </c>
      <c r="Y79" s="2" t="str">
        <f>IF(COUNTIF(NPS_Data[Ticket No],NPS_Data[[#This Row],[Ticket No]])&gt;1,"Duplicate","OK")</f>
        <v>OK</v>
      </c>
      <c r="Z79" s="2" t="str">
        <f ca="1">IF(NPS_Data[[#This Row],[RemarkHash]]="","OK",
   IF(COUNTIF(NPS_Data[RemarkHash],NPS_Data[[#This Row],[RemarkHash]])&gt;1,"RepeatedRemark","OK"))</f>
        <v>RepeatedRemark</v>
      </c>
      <c r="AA79" s="17">
        <f>IF( AND( ISNUMBER(NPS_Data[[#This Row],[CreatedDateTime]]), ISNUMBER(NPS_Data[[#This Row],[ResolvedDateTime]]) ), (NPS_Data[[#This Row],[ResolvedDateTime]] - NPS_Data[[#This Row],[CreatedDateTime]]) * 24, 0 )</f>
        <v>218.11972222232725</v>
      </c>
      <c r="AB79" s="65" t="str">
        <f>IF(NOT(ISNA(NPS_Data[[#This Row],[CreatedDateTime]])),
   YEAR(NPS_Data[[#This Row],[CreatedDateTime]]) &amp; "-" &amp; TEXT(WEEKNUM(NPS_Data[[#This Row],[CreatedDateTime]],2),"00"),
   "")</f>
        <v>2025-38</v>
      </c>
      <c r="AC79" s="14" t="str">
        <f>IF(NOT(ISNA(NPS_Data[[#This Row],[CreatedDateTime]])), TEXT(NPS_Data[[#This Row],[CreatedDateTime]],"YYYY-MM"), "")</f>
        <v>2025-09</v>
      </c>
      <c r="AD79" s="14" t="str">
        <f>IF(NOT(ISNUMBER(NPS_Data[[#This Row],[ResolutionHours]])),"Open", IF(NPS_Data[[#This Row],[ResolutionHours]]&gt;72,"Breach","OK"))</f>
        <v>Breach</v>
      </c>
      <c r="AE79" s="14">
        <f>IF(AND(ISNUMBER(NPS_Data[[#This Row],[CreatedDateTime]]), ISNUMBER(NPS_Data[[#This Row],[ResolvedDateTime]])), 1, 0)</f>
        <v>1</v>
      </c>
      <c r="AF79" s="48" t="str">
        <f>IF(NOT(ISNA(NPS_Data[[#This Row],[CreatedDateTime]])), TEXT(NPS_Data[[#This Row],[CreatedDateTime]],"dddd"), "")</f>
        <v>Friday</v>
      </c>
    </row>
    <row r="80" spans="1:32" x14ac:dyDescent="0.25">
      <c r="A80" s="2" t="s">
        <v>523</v>
      </c>
      <c r="B80" s="2" t="s">
        <v>524</v>
      </c>
      <c r="C80" s="2" t="s">
        <v>525</v>
      </c>
      <c r="D8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45875.495451388888</v>
      </c>
      <c r="E80" s="2" t="s">
        <v>20</v>
      </c>
      <c r="H80"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80" s="2" t="s">
        <v>23</v>
      </c>
      <c r="J80" s="2" t="s">
        <v>23</v>
      </c>
      <c r="K80" s="2" t="s">
        <v>88</v>
      </c>
      <c r="L80" s="2" t="s">
        <v>526</v>
      </c>
      <c r="M80" s="2" t="s">
        <v>527</v>
      </c>
      <c r="N80" s="2" t="s">
        <v>528</v>
      </c>
      <c r="O80" s="2" t="s">
        <v>41</v>
      </c>
      <c r="P80" s="2" t="s">
        <v>189</v>
      </c>
      <c r="Q80" s="3">
        <v>4</v>
      </c>
      <c r="R80" s="2" t="s">
        <v>49</v>
      </c>
      <c r="S80" s="2" t="s">
        <v>116</v>
      </c>
      <c r="T80" s="2" t="str">
        <f>IF(OR(NPS_Data[[#This Row],[CreatedDateTime]]="",NPS_Data[[#This Row],[Assigned To]]="",NPS_Data[[#This Row],[Issue 2 - NPS]]="",NPS_Data[[#This Row],[Program Name]]=""),"Missing","OK")</f>
        <v>OK</v>
      </c>
      <c r="U80" s="2" t="str">
        <f>IF(
  AND(NPS_Data[[#This Row],[Status]]="Complete", OR(ISNA(NPS_Data[[#This Row],[ResolvedDateTime]]), ISBLANK(NPS_Data[[#This Row],[ResolvedDateTime]]))),
  "CompleteNoResolved",
  IF(
    AND(NPS_Data[[#This Row],[Status]]="Pending", NPS_Data[[#This Row],[Sub Status]]="Solved"),
    "PendingButSolved",
    "OK"
  )
)</f>
        <v>OK</v>
      </c>
      <c r="V8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80" s="2" t="str">
        <f>IFERROR(TRIM(CLEAN(NPS_Data[[#This Row],[Ticket All Remarks]])),"")</f>
        <v>Getting interview calls but salary offers 40% below market rate. Companies lowball citing 'career change' despite strong technical performance. || Resolution: Provided salary negotiation training and market benchmarking data</v>
      </c>
      <c r="X80" s="2" cm="1">
        <f t="array" aca="1" ref="X80" ca="1">IF(NPS_Data[[#This Row],[CleanRemark]]="","",
   SUMPRODUCT(CODE(MID(NPS_Data[[#This Row],[CleanRemark]],ROW(INDIRECT("1:"&amp;LEN(NPS_Data[[#This Row],[CleanRemark]]))),1))))</f>
        <v>21286</v>
      </c>
      <c r="Y80" s="2" t="str">
        <f>IF(COUNTIF(NPS_Data[Ticket No],NPS_Data[[#This Row],[Ticket No]])&gt;1,"Duplicate","OK")</f>
        <v>OK</v>
      </c>
      <c r="Z80" s="2" t="str">
        <f ca="1">IF(NPS_Data[[#This Row],[RemarkHash]]="","OK",
   IF(COUNTIF(NPS_Data[RemarkHash],NPS_Data[[#This Row],[RemarkHash]])&gt;1,"RepeatedRemark","OK"))</f>
        <v>OK</v>
      </c>
      <c r="AA80" s="17">
        <f>IF( AND( ISNUMBER(NPS_Data[[#This Row],[CreatedDateTime]]), ISNUMBER(NPS_Data[[#This Row],[ResolvedDateTime]]) ), (NPS_Data[[#This Row],[ResolvedDateTime]] - NPS_Data[[#This Row],[CreatedDateTime]]) * 24, 0 )</f>
        <v>0</v>
      </c>
      <c r="AB80" s="65" t="str">
        <f>IF(NOT(ISNA(NPS_Data[[#This Row],[CreatedDateTime]])),
   YEAR(NPS_Data[[#This Row],[CreatedDateTime]]) &amp; "-" &amp; TEXT(WEEKNUM(NPS_Data[[#This Row],[CreatedDateTime]],2),"00"),
   "")</f>
        <v>2025-32</v>
      </c>
      <c r="AC80" s="14" t="str">
        <f>IF(NOT(ISNA(NPS_Data[[#This Row],[CreatedDateTime]])), TEXT(NPS_Data[[#This Row],[CreatedDateTime]],"YYYY-MM"), "")</f>
        <v>2025-08</v>
      </c>
      <c r="AD80" s="14" t="str">
        <f>IF(NOT(ISNUMBER(NPS_Data[[#This Row],[ResolutionHours]])),"Open", IF(NPS_Data[[#This Row],[ResolutionHours]]&gt;72,"Breach","OK"))</f>
        <v>OK</v>
      </c>
      <c r="AE80" s="14">
        <f>IF(AND(ISNUMBER(NPS_Data[[#This Row],[CreatedDateTime]]), ISNUMBER(NPS_Data[[#This Row],[ResolvedDateTime]])), 1, 0)</f>
        <v>0</v>
      </c>
      <c r="AF80" s="48" t="str">
        <f>IF(NOT(ISNA(NPS_Data[[#This Row],[CreatedDateTime]])), TEXT(NPS_Data[[#This Row],[CreatedDateTime]],"dddd"), "")</f>
        <v>Wednesday</v>
      </c>
    </row>
    <row r="81" spans="1:32" x14ac:dyDescent="0.25">
      <c r="A81" s="2" t="s">
        <v>529</v>
      </c>
      <c r="B81" s="2" t="s">
        <v>435</v>
      </c>
      <c r="C81" s="2" t="s">
        <v>530</v>
      </c>
      <c r="D8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45873.38957175926</v>
      </c>
      <c r="E81" s="2" t="s">
        <v>20</v>
      </c>
      <c r="F81" s="2" t="s">
        <v>267</v>
      </c>
      <c r="G81" s="2" t="s">
        <v>531</v>
      </c>
      <c r="H81"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45879.516724537039</v>
      </c>
      <c r="I81" s="2" t="s">
        <v>23</v>
      </c>
      <c r="J81" s="2" t="s">
        <v>23</v>
      </c>
      <c r="K81" s="2" t="s">
        <v>38</v>
      </c>
      <c r="L81" s="2" t="s">
        <v>532</v>
      </c>
      <c r="M81" s="2" t="s">
        <v>533</v>
      </c>
      <c r="N81" s="2" t="s">
        <v>284</v>
      </c>
      <c r="O81" s="2" t="s">
        <v>48</v>
      </c>
      <c r="P81" s="2" t="s">
        <v>285</v>
      </c>
      <c r="Q81" s="3">
        <v>6</v>
      </c>
      <c r="R81" s="2" t="s">
        <v>30</v>
      </c>
      <c r="S81" s="2" t="s">
        <v>31</v>
      </c>
      <c r="T81" s="2" t="str">
        <f>IF(OR(NPS_Data[[#This Row],[CreatedDateTime]]="",NPS_Data[[#This Row],[Assigned To]]="",NPS_Data[[#This Row],[Issue 2 - NPS]]="",NPS_Data[[#This Row],[Program Name]]=""),"Missing","OK")</f>
        <v>OK</v>
      </c>
      <c r="U81" s="2" t="str">
        <f>IF(
  AND(NPS_Data[[#This Row],[Status]]="Complete", OR(ISNA(NPS_Data[[#This Row],[ResolvedDateTime]]), ISBLANK(NPS_Data[[#This Row],[ResolvedDateTime]]))),
  "CompleteNoResolved",
  IF(
    AND(NPS_Data[[#This Row],[Status]]="Pending", NPS_Data[[#This Row],[Sub Status]]="Solved"),
    "PendingButSolved",
    "OK"
  )
)</f>
        <v>OK</v>
      </c>
      <c r="V8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81" s="2" t="str">
        <f>IFERROR(TRIM(CLEAN(NPS_Data[[#This Row],[Ticket All Remarks]])),"")</f>
        <v>Lecture slides contain only bullet points without detailed explanations. Need comprehensive notes for exam preparation and interview revision. || Resolution: Enhanced slides with detailed explanations and examples</v>
      </c>
      <c r="X81" s="2" cm="1">
        <f t="array" aca="1" ref="X81" ca="1">IF(NPS_Data[[#This Row],[CleanRemark]]="","",
   SUMPRODUCT(CODE(MID(NPS_Data[[#This Row],[CleanRemark]],ROW(INDIRECT("1:"&amp;LEN(NPS_Data[[#This Row],[CleanRemark]]))),1))))</f>
        <v>20736</v>
      </c>
      <c r="Y81" s="2" t="str">
        <f>IF(COUNTIF(NPS_Data[Ticket No],NPS_Data[[#This Row],[Ticket No]])&gt;1,"Duplicate","OK")</f>
        <v>OK</v>
      </c>
      <c r="Z81" s="2" t="str">
        <f ca="1">IF(NPS_Data[[#This Row],[RemarkHash]]="","OK",
   IF(COUNTIF(NPS_Data[RemarkHash],NPS_Data[[#This Row],[RemarkHash]])&gt;1,"RepeatedRemark","OK"))</f>
        <v>RepeatedRemark</v>
      </c>
      <c r="AA81" s="17">
        <f>IF( AND( ISNUMBER(NPS_Data[[#This Row],[CreatedDateTime]]), ISNUMBER(NPS_Data[[#This Row],[ResolvedDateTime]]) ), (NPS_Data[[#This Row],[ResolvedDateTime]] - NPS_Data[[#This Row],[CreatedDateTime]]) * 24, 0 )</f>
        <v>147.05166666669538</v>
      </c>
      <c r="AB81" s="65" t="str">
        <f>IF(NOT(ISNA(NPS_Data[[#This Row],[CreatedDateTime]])),
   YEAR(NPS_Data[[#This Row],[CreatedDateTime]]) &amp; "-" &amp; TEXT(WEEKNUM(NPS_Data[[#This Row],[CreatedDateTime]],2),"00"),
   "")</f>
        <v>2025-32</v>
      </c>
      <c r="AC81" s="14" t="str">
        <f>IF(NOT(ISNA(NPS_Data[[#This Row],[CreatedDateTime]])), TEXT(NPS_Data[[#This Row],[CreatedDateTime]],"YYYY-MM"), "")</f>
        <v>2025-08</v>
      </c>
      <c r="AD81" s="14" t="str">
        <f>IF(NOT(ISNUMBER(NPS_Data[[#This Row],[ResolutionHours]])),"Open", IF(NPS_Data[[#This Row],[ResolutionHours]]&gt;72,"Breach","OK"))</f>
        <v>Breach</v>
      </c>
      <c r="AE81" s="14">
        <f>IF(AND(ISNUMBER(NPS_Data[[#This Row],[CreatedDateTime]]), ISNUMBER(NPS_Data[[#This Row],[ResolvedDateTime]])), 1, 0)</f>
        <v>1</v>
      </c>
      <c r="AF81" s="48" t="str">
        <f>IF(NOT(ISNA(NPS_Data[[#This Row],[CreatedDateTime]])), TEXT(NPS_Data[[#This Row],[CreatedDateTime]],"dddd"), "")</f>
        <v>Monday</v>
      </c>
    </row>
    <row r="82" spans="1:32" x14ac:dyDescent="0.25">
      <c r="A82" s="2" t="s">
        <v>534</v>
      </c>
      <c r="B82" s="2" t="s">
        <v>191</v>
      </c>
      <c r="C82" s="2" t="s">
        <v>535</v>
      </c>
      <c r="D8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45900.386261574073</v>
      </c>
      <c r="E82" s="2" t="s">
        <v>219</v>
      </c>
      <c r="F82" s="2" t="s">
        <v>78</v>
      </c>
      <c r="G82" s="2" t="s">
        <v>536</v>
      </c>
      <c r="H82"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45903.686562499999</v>
      </c>
      <c r="I82" s="2" t="s">
        <v>23</v>
      </c>
      <c r="J82" s="2" t="s">
        <v>23</v>
      </c>
      <c r="K82" s="2" t="s">
        <v>88</v>
      </c>
      <c r="L82" s="2" t="s">
        <v>537</v>
      </c>
      <c r="M82" s="2" t="s">
        <v>538</v>
      </c>
      <c r="N82" s="2" t="s">
        <v>539</v>
      </c>
      <c r="O82" s="2" t="s">
        <v>28</v>
      </c>
      <c r="P82" s="2" t="s">
        <v>92</v>
      </c>
      <c r="Q82" s="3">
        <v>3</v>
      </c>
      <c r="R82" s="2" t="s">
        <v>30</v>
      </c>
      <c r="S82" s="2" t="s">
        <v>31</v>
      </c>
      <c r="T82" s="2" t="str">
        <f>IF(OR(NPS_Data[[#This Row],[CreatedDateTime]]="",NPS_Data[[#This Row],[Assigned To]]="",NPS_Data[[#This Row],[Issue 2 - NPS]]="",NPS_Data[[#This Row],[Program Name]]=""),"Missing","OK")</f>
        <v>OK</v>
      </c>
      <c r="U82" s="2" t="str">
        <f>IF(
  AND(NPS_Data[[#This Row],[Status]]="Complete", OR(ISNA(NPS_Data[[#This Row],[ResolvedDateTime]]), ISBLANK(NPS_Data[[#This Row],[ResolvedDateTime]]))),
  "CompleteNoResolved",
  IF(
    AND(NPS_Data[[#This Row],[Status]]="Pending", NPS_Data[[#This Row],[Sub Status]]="Solved"),
    "PendingButSolved",
    "OK"
  )
)</f>
        <v>OK</v>
      </c>
      <c r="V8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82" s="2" t="str">
        <f>IFERROR(TRIM(CLEAN(NPS_Data[[#This Row],[Ticket All Remarks]])),"")</f>
        <v>Interested in startup environment but concerned about job security with family responsibilities. Need advice on evaluating startup opportunities vs established companies. || Resolution: Conducted detailed career counseling session on risk assessment and planning</v>
      </c>
      <c r="X82" s="2" cm="1">
        <f t="array" aca="1" ref="X82" ca="1">IF(NPS_Data[[#This Row],[CleanRemark]]="","",
   SUMPRODUCT(CODE(MID(NPS_Data[[#This Row],[CleanRemark]],ROW(INDIRECT("1:"&amp;LEN(NPS_Data[[#This Row],[CleanRemark]]))),1))))</f>
        <v>25613</v>
      </c>
      <c r="Y82" s="2" t="str">
        <f>IF(COUNTIF(NPS_Data[Ticket No],NPS_Data[[#This Row],[Ticket No]])&gt;1,"Duplicate","OK")</f>
        <v>OK</v>
      </c>
      <c r="Z82" s="2" t="str">
        <f ca="1">IF(NPS_Data[[#This Row],[RemarkHash]]="","OK",
   IF(COUNTIF(NPS_Data[RemarkHash],NPS_Data[[#This Row],[RemarkHash]])&gt;1,"RepeatedRemark","OK"))</f>
        <v>RepeatedRemark</v>
      </c>
      <c r="AA82" s="17">
        <f>IF( AND( ISNUMBER(NPS_Data[[#This Row],[CreatedDateTime]]), ISNUMBER(NPS_Data[[#This Row],[ResolvedDateTime]]) ), (NPS_Data[[#This Row],[ResolvedDateTime]] - NPS_Data[[#This Row],[CreatedDateTime]]) * 24, 0 )</f>
        <v>79.207222222234122</v>
      </c>
      <c r="AB82" s="65" t="str">
        <f>IF(NOT(ISNA(NPS_Data[[#This Row],[CreatedDateTime]])),
   YEAR(NPS_Data[[#This Row],[CreatedDateTime]]) &amp; "-" &amp; TEXT(WEEKNUM(NPS_Data[[#This Row],[CreatedDateTime]],2),"00"),
   "")</f>
        <v>2025-35</v>
      </c>
      <c r="AC82" s="14" t="str">
        <f>IF(NOT(ISNA(NPS_Data[[#This Row],[CreatedDateTime]])), TEXT(NPS_Data[[#This Row],[CreatedDateTime]],"YYYY-MM"), "")</f>
        <v>2025-08</v>
      </c>
      <c r="AD82" s="14" t="str">
        <f>IF(NOT(ISNUMBER(NPS_Data[[#This Row],[ResolutionHours]])),"Open", IF(NPS_Data[[#This Row],[ResolutionHours]]&gt;72,"Breach","OK"))</f>
        <v>Breach</v>
      </c>
      <c r="AE82" s="14">
        <f>IF(AND(ISNUMBER(NPS_Data[[#This Row],[CreatedDateTime]]), ISNUMBER(NPS_Data[[#This Row],[ResolvedDateTime]])), 1, 0)</f>
        <v>1</v>
      </c>
      <c r="AF82" s="48" t="str">
        <f>IF(NOT(ISNA(NPS_Data[[#This Row],[CreatedDateTime]])), TEXT(NPS_Data[[#This Row],[CreatedDateTime]],"dddd"), "")</f>
        <v>Sunday</v>
      </c>
    </row>
    <row r="83" spans="1:32" x14ac:dyDescent="0.25">
      <c r="A83" s="2" t="s">
        <v>540</v>
      </c>
      <c r="B83" s="2" t="s">
        <v>233</v>
      </c>
      <c r="C83" s="2" t="s">
        <v>541</v>
      </c>
      <c r="D8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45889.454131944447</v>
      </c>
      <c r="E83" s="2" t="s">
        <v>87</v>
      </c>
      <c r="F83" s="2" t="s">
        <v>513</v>
      </c>
      <c r="G83" s="2" t="s">
        <v>542</v>
      </c>
      <c r="H83"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45893.653356481482</v>
      </c>
      <c r="I83" s="2" t="s">
        <v>23</v>
      </c>
      <c r="J83" s="2" t="s">
        <v>23</v>
      </c>
      <c r="K83" s="2" t="s">
        <v>38</v>
      </c>
      <c r="L83" s="2" t="s">
        <v>543</v>
      </c>
      <c r="M83" s="2" t="s">
        <v>544</v>
      </c>
      <c r="N83" s="2" t="s">
        <v>545</v>
      </c>
      <c r="O83" s="2" t="s">
        <v>41</v>
      </c>
      <c r="P83" s="2" t="s">
        <v>158</v>
      </c>
      <c r="Q83" s="3">
        <v>8</v>
      </c>
      <c r="R83" s="2" t="s">
        <v>30</v>
      </c>
      <c r="S83" s="2" t="s">
        <v>31</v>
      </c>
      <c r="T83" s="2" t="str">
        <f>IF(OR(NPS_Data[[#This Row],[CreatedDateTime]]="",NPS_Data[[#This Row],[Assigned To]]="",NPS_Data[[#This Row],[Issue 2 - NPS]]="",NPS_Data[[#This Row],[Program Name]]=""),"Missing","OK")</f>
        <v>OK</v>
      </c>
      <c r="U83" s="2" t="str">
        <f>IF(
  AND(NPS_Data[[#This Row],[Status]]="Complete", OR(ISNA(NPS_Data[[#This Row],[ResolvedDateTime]]), ISBLANK(NPS_Data[[#This Row],[ResolvedDateTime]]))),
  "CompleteNoResolved",
  IF(
    AND(NPS_Data[[#This Row],[Status]]="Pending", NPS_Data[[#This Row],[Sub Status]]="Solved"),
    "PendingButSolved",
    "OK"
  )
)</f>
        <v>OK</v>
      </c>
      <c r="V8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83" s="2" t="str">
        <f>IFERROR(TRIM(CLEAN(NPS_Data[[#This Row],[Ticket All Remarks]])),"")</f>
        <v>Evening AIML Aug25 starts at 7 PM when dinner time with family. Work-life balance getting affected due to late learning schedule. || Resolution: Introduced early evening slots (6-8 PM) based on demand</v>
      </c>
      <c r="X83" s="2" cm="1">
        <f t="array" aca="1" ref="X83" ca="1">IF(NPS_Data[[#This Row],[CleanRemark]]="","",
   SUMPRODUCT(CODE(MID(NPS_Data[[#This Row],[CleanRemark]],ROW(INDIRECT("1:"&amp;LEN(NPS_Data[[#This Row],[CleanRemark]]))),1))))</f>
        <v>18009</v>
      </c>
      <c r="Y83" s="2" t="str">
        <f>IF(COUNTIF(NPS_Data[Ticket No],NPS_Data[[#This Row],[Ticket No]])&gt;1,"Duplicate","OK")</f>
        <v>OK</v>
      </c>
      <c r="Z83" s="2" t="str">
        <f ca="1">IF(NPS_Data[[#This Row],[RemarkHash]]="","OK",
   IF(COUNTIF(NPS_Data[RemarkHash],NPS_Data[[#This Row],[RemarkHash]])&gt;1,"RepeatedRemark","OK"))</f>
        <v>RepeatedRemark</v>
      </c>
      <c r="AA83" s="17">
        <f>IF( AND( ISNUMBER(NPS_Data[[#This Row],[CreatedDateTime]]), ISNUMBER(NPS_Data[[#This Row],[ResolvedDateTime]]) ), (NPS_Data[[#This Row],[ResolvedDateTime]] - NPS_Data[[#This Row],[CreatedDateTime]]) * 24, 0 )</f>
        <v>100.78138888883404</v>
      </c>
      <c r="AB83" s="65" t="str">
        <f>IF(NOT(ISNA(NPS_Data[[#This Row],[CreatedDateTime]])),
   YEAR(NPS_Data[[#This Row],[CreatedDateTime]]) &amp; "-" &amp; TEXT(WEEKNUM(NPS_Data[[#This Row],[CreatedDateTime]],2),"00"),
   "")</f>
        <v>2025-34</v>
      </c>
      <c r="AC83" s="14" t="str">
        <f>IF(NOT(ISNA(NPS_Data[[#This Row],[CreatedDateTime]])), TEXT(NPS_Data[[#This Row],[CreatedDateTime]],"YYYY-MM"), "")</f>
        <v>2025-08</v>
      </c>
      <c r="AD83" s="14" t="str">
        <f>IF(NOT(ISNUMBER(NPS_Data[[#This Row],[ResolutionHours]])),"Open", IF(NPS_Data[[#This Row],[ResolutionHours]]&gt;72,"Breach","OK"))</f>
        <v>Breach</v>
      </c>
      <c r="AE83" s="14">
        <f>IF(AND(ISNUMBER(NPS_Data[[#This Row],[CreatedDateTime]]), ISNUMBER(NPS_Data[[#This Row],[ResolvedDateTime]])), 1, 0)</f>
        <v>1</v>
      </c>
      <c r="AF83" s="48" t="str">
        <f>IF(NOT(ISNA(NPS_Data[[#This Row],[CreatedDateTime]])), TEXT(NPS_Data[[#This Row],[CreatedDateTime]],"dddd"), "")</f>
        <v>Wednesday</v>
      </c>
    </row>
    <row r="84" spans="1:32" x14ac:dyDescent="0.25">
      <c r="A84" s="2" t="s">
        <v>546</v>
      </c>
      <c r="B84" s="2" t="s">
        <v>102</v>
      </c>
      <c r="C84" s="2" t="s">
        <v>547</v>
      </c>
      <c r="D8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45915.487986111111</v>
      </c>
      <c r="E84" s="2" t="s">
        <v>20</v>
      </c>
      <c r="F84" s="2" t="s">
        <v>105</v>
      </c>
      <c r="G84" s="2" t="s">
        <v>548</v>
      </c>
      <c r="H84"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45922.402337962965</v>
      </c>
      <c r="I84" s="2" t="s">
        <v>23</v>
      </c>
      <c r="J84" s="2" t="s">
        <v>23</v>
      </c>
      <c r="K84" s="2" t="s">
        <v>88</v>
      </c>
      <c r="L84" s="2" t="s">
        <v>549</v>
      </c>
      <c r="M84" s="2" t="s">
        <v>550</v>
      </c>
      <c r="N84" s="2" t="s">
        <v>551</v>
      </c>
      <c r="O84" s="2" t="s">
        <v>177</v>
      </c>
      <c r="P84" s="2" t="s">
        <v>189</v>
      </c>
      <c r="Q84" s="3">
        <v>7</v>
      </c>
      <c r="R84" s="2" t="s">
        <v>30</v>
      </c>
      <c r="S84" s="2" t="s">
        <v>31</v>
      </c>
      <c r="T84" s="2" t="str">
        <f>IF(OR(NPS_Data[[#This Row],[CreatedDateTime]]="",NPS_Data[[#This Row],[Assigned To]]="",NPS_Data[[#This Row],[Issue 2 - NPS]]="",NPS_Data[[#This Row],[Program Name]]=""),"Missing","OK")</f>
        <v>OK</v>
      </c>
      <c r="U84" s="2" t="str">
        <f>IF(
  AND(NPS_Data[[#This Row],[Status]]="Complete", OR(ISNA(NPS_Data[[#This Row],[ResolvedDateTime]]), ISBLANK(NPS_Data[[#This Row],[ResolvedDateTime]]))),
  "CompleteNoResolved",
  IF(
    AND(NPS_Data[[#This Row],[Status]]="Pending", NPS_Data[[#This Row],[Sub Status]]="Solved"),
    "PendingButSolved",
    "OK"
  )
)</f>
        <v>OK</v>
      </c>
      <c r="V8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84" s="2" t="str">
        <f>IFERROR(TRIM(CLEAN(NPS_Data[[#This Row],[Ticket All Remarks]])),"")</f>
        <v>Appearing for interviews but consistently failing in system design rounds. Completed course but still struggle with scalability and architecture questions. || Resolution: Arranged advanced system design workshops with industry architects</v>
      </c>
      <c r="X84" s="2" cm="1">
        <f t="array" aca="1" ref="X84" ca="1">IF(NPS_Data[[#This Row],[CleanRemark]]="","",
   SUMPRODUCT(CODE(MID(NPS_Data[[#This Row],[CleanRemark]],ROW(INDIRECT("1:"&amp;LEN(NPS_Data[[#This Row],[CleanRemark]]))),1))))</f>
        <v>23234</v>
      </c>
      <c r="Y84" s="2" t="str">
        <f>IF(COUNTIF(NPS_Data[Ticket No],NPS_Data[[#This Row],[Ticket No]])&gt;1,"Duplicate","OK")</f>
        <v>OK</v>
      </c>
      <c r="Z84" s="2" t="str">
        <f ca="1">IF(NPS_Data[[#This Row],[RemarkHash]]="","OK",
   IF(COUNTIF(NPS_Data[RemarkHash],NPS_Data[[#This Row],[RemarkHash]])&gt;1,"RepeatedRemark","OK"))</f>
        <v>RepeatedRemark</v>
      </c>
      <c r="AA84" s="17">
        <f>IF( AND( ISNUMBER(NPS_Data[[#This Row],[CreatedDateTime]]), ISNUMBER(NPS_Data[[#This Row],[ResolvedDateTime]]) ), (NPS_Data[[#This Row],[ResolvedDateTime]] - NPS_Data[[#This Row],[CreatedDateTime]]) * 24, 0 )</f>
        <v>165.94444444449618</v>
      </c>
      <c r="AB84" s="65" t="str">
        <f>IF(NOT(ISNA(NPS_Data[[#This Row],[CreatedDateTime]])),
   YEAR(NPS_Data[[#This Row],[CreatedDateTime]]) &amp; "-" &amp; TEXT(WEEKNUM(NPS_Data[[#This Row],[CreatedDateTime]],2),"00"),
   "")</f>
        <v>2025-38</v>
      </c>
      <c r="AC84" s="14" t="str">
        <f>IF(NOT(ISNA(NPS_Data[[#This Row],[CreatedDateTime]])), TEXT(NPS_Data[[#This Row],[CreatedDateTime]],"YYYY-MM"), "")</f>
        <v>2025-09</v>
      </c>
      <c r="AD84" s="14" t="str">
        <f>IF(NOT(ISNUMBER(NPS_Data[[#This Row],[ResolutionHours]])),"Open", IF(NPS_Data[[#This Row],[ResolutionHours]]&gt;72,"Breach","OK"))</f>
        <v>Breach</v>
      </c>
      <c r="AE84" s="14">
        <f>IF(AND(ISNUMBER(NPS_Data[[#This Row],[CreatedDateTime]]), ISNUMBER(NPS_Data[[#This Row],[ResolvedDateTime]])), 1, 0)</f>
        <v>1</v>
      </c>
      <c r="AF84" s="48" t="str">
        <f>IF(NOT(ISNA(NPS_Data[[#This Row],[CreatedDateTime]])), TEXT(NPS_Data[[#This Row],[CreatedDateTime]],"dddd"), "")</f>
        <v>Monday</v>
      </c>
    </row>
    <row r="85" spans="1:32" x14ac:dyDescent="0.25">
      <c r="A85" s="2" t="s">
        <v>552</v>
      </c>
      <c r="B85" s="2" t="s">
        <v>372</v>
      </c>
      <c r="C85" s="2" t="s">
        <v>553</v>
      </c>
      <c r="D8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45920.66851851852</v>
      </c>
      <c r="E85" s="2" t="s">
        <v>104</v>
      </c>
      <c r="H85"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85" s="2" t="s">
        <v>23</v>
      </c>
      <c r="J85" s="2" t="s">
        <v>23</v>
      </c>
      <c r="K85" s="2" t="s">
        <v>88</v>
      </c>
      <c r="L85" s="2" t="s">
        <v>554</v>
      </c>
      <c r="M85" s="2" t="s">
        <v>555</v>
      </c>
      <c r="N85" s="2" t="s">
        <v>556</v>
      </c>
      <c r="O85" s="2" t="s">
        <v>28</v>
      </c>
      <c r="P85" s="2" t="s">
        <v>92</v>
      </c>
      <c r="Q85" s="3">
        <v>6</v>
      </c>
      <c r="R85" s="2" t="s">
        <v>49</v>
      </c>
      <c r="S85" s="2" t="s">
        <v>50</v>
      </c>
      <c r="T85" s="2" t="str">
        <f>IF(OR(NPS_Data[[#This Row],[CreatedDateTime]]="",NPS_Data[[#This Row],[Assigned To]]="",NPS_Data[[#This Row],[Issue 2 - NPS]]="",NPS_Data[[#This Row],[Program Name]]=""),"Missing","OK")</f>
        <v>OK</v>
      </c>
      <c r="U85" s="2" t="str">
        <f>IF(
  AND(NPS_Data[[#This Row],[Status]]="Complete", OR(ISNA(NPS_Data[[#This Row],[ResolvedDateTime]]), ISBLANK(NPS_Data[[#This Row],[ResolvedDateTime]]))),
  "CompleteNoResolved",
  IF(
    AND(NPS_Data[[#This Row],[Status]]="Pending", NPS_Data[[#This Row],[Sub Status]]="Solved"),
    "PendingButSolved",
    "OK"
  )
)</f>
        <v>OK</v>
      </c>
      <c r="V8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85" s="2" t="str">
        <f>IFERROR(TRIM(CLEAN(NPS_Data[[#This Row],[Ticket All Remarks]])),"")</f>
        <v>Want to transition from service-based to product companies but don't understand cultural and technical differences. Need guidance on preparation strategy. || Resolution: Connected with mentor who made similar transition and provided Zomato-specific prep</v>
      </c>
      <c r="X85" s="2" cm="1">
        <f t="array" aca="1" ref="X85" ca="1">IF(NPS_Data[[#This Row],[CleanRemark]]="","",
   SUMPRODUCT(CODE(MID(NPS_Data[[#This Row],[CleanRemark]],ROW(INDIRECT("1:"&amp;LEN(NPS_Data[[#This Row],[CleanRemark]]))),1))))</f>
        <v>24335</v>
      </c>
      <c r="Y85" s="2" t="str">
        <f>IF(COUNTIF(NPS_Data[Ticket No],NPS_Data[[#This Row],[Ticket No]])&gt;1,"Duplicate","OK")</f>
        <v>OK</v>
      </c>
      <c r="Z85" s="2" t="str">
        <f ca="1">IF(NPS_Data[[#This Row],[RemarkHash]]="","OK",
   IF(COUNTIF(NPS_Data[RemarkHash],NPS_Data[[#This Row],[RemarkHash]])&gt;1,"RepeatedRemark","OK"))</f>
        <v>OK</v>
      </c>
      <c r="AA85" s="17">
        <f>IF( AND( ISNUMBER(NPS_Data[[#This Row],[CreatedDateTime]]), ISNUMBER(NPS_Data[[#This Row],[ResolvedDateTime]]) ), (NPS_Data[[#This Row],[ResolvedDateTime]] - NPS_Data[[#This Row],[CreatedDateTime]]) * 24, 0 )</f>
        <v>0</v>
      </c>
      <c r="AB85" s="65" t="str">
        <f>IF(NOT(ISNA(NPS_Data[[#This Row],[CreatedDateTime]])),
   YEAR(NPS_Data[[#This Row],[CreatedDateTime]]) &amp; "-" &amp; TEXT(WEEKNUM(NPS_Data[[#This Row],[CreatedDateTime]],2),"00"),
   "")</f>
        <v>2025-38</v>
      </c>
      <c r="AC85" s="14" t="str">
        <f>IF(NOT(ISNA(NPS_Data[[#This Row],[CreatedDateTime]])), TEXT(NPS_Data[[#This Row],[CreatedDateTime]],"YYYY-MM"), "")</f>
        <v>2025-09</v>
      </c>
      <c r="AD85" s="14" t="str">
        <f>IF(NOT(ISNUMBER(NPS_Data[[#This Row],[ResolutionHours]])),"Open", IF(NPS_Data[[#This Row],[ResolutionHours]]&gt;72,"Breach","OK"))</f>
        <v>OK</v>
      </c>
      <c r="AE85" s="14">
        <f>IF(AND(ISNUMBER(NPS_Data[[#This Row],[CreatedDateTime]]), ISNUMBER(NPS_Data[[#This Row],[ResolvedDateTime]])), 1, 0)</f>
        <v>0</v>
      </c>
      <c r="AF85" s="48" t="str">
        <f>IF(NOT(ISNA(NPS_Data[[#This Row],[CreatedDateTime]])), TEXT(NPS_Data[[#This Row],[CreatedDateTime]],"dddd"), "")</f>
        <v>Saturday</v>
      </c>
    </row>
    <row r="86" spans="1:32" x14ac:dyDescent="0.25">
      <c r="A86" s="2" t="s">
        <v>557</v>
      </c>
      <c r="B86" s="2" t="s">
        <v>18</v>
      </c>
      <c r="C86" s="2" t="s">
        <v>558</v>
      </c>
      <c r="D8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45892.3906712963</v>
      </c>
      <c r="E86" s="2" t="s">
        <v>167</v>
      </c>
      <c r="F86" s="2" t="s">
        <v>78</v>
      </c>
      <c r="G86" s="2" t="s">
        <v>559</v>
      </c>
      <c r="H86"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45903.451122685183</v>
      </c>
      <c r="I86" s="2" t="s">
        <v>23</v>
      </c>
      <c r="J86" s="2" t="s">
        <v>23</v>
      </c>
      <c r="K86" s="2" t="s">
        <v>88</v>
      </c>
      <c r="L86" s="2" t="s">
        <v>560</v>
      </c>
      <c r="M86" s="2" t="s">
        <v>561</v>
      </c>
      <c r="N86" s="2" t="s">
        <v>562</v>
      </c>
      <c r="O86" s="2" t="s">
        <v>48</v>
      </c>
      <c r="P86" s="2" t="s">
        <v>242</v>
      </c>
      <c r="Q86" s="3">
        <v>6</v>
      </c>
      <c r="R86" s="2" t="s">
        <v>30</v>
      </c>
      <c r="S86" s="2" t="s">
        <v>133</v>
      </c>
      <c r="T86" s="2" t="str">
        <f>IF(OR(NPS_Data[[#This Row],[CreatedDateTime]]="",NPS_Data[[#This Row],[Assigned To]]="",NPS_Data[[#This Row],[Issue 2 - NPS]]="",NPS_Data[[#This Row],[Program Name]]=""),"Missing","OK")</f>
        <v>OK</v>
      </c>
      <c r="U86" s="2" t="str">
        <f>IF(
  AND(NPS_Data[[#This Row],[Status]]="Complete", OR(ISNA(NPS_Data[[#This Row],[ResolvedDateTime]]), ISBLANK(NPS_Data[[#This Row],[ResolvedDateTime]]))),
  "CompleteNoResolved",
  IF(
    AND(NPS_Data[[#This Row],[Status]]="Pending", NPS_Data[[#This Row],[Sub Status]]="Solved"),
    "PendingButSolved",
    "OK"
  )
)</f>
        <v>OK</v>
      </c>
      <c r="V8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86" s="2" t="str">
        <f>IFERROR(TRIM(CLEAN(NPS_Data[[#This Row],[Ticket All Remarks]])),"")</f>
        <v>Applied to 67 Data Science positions in 3 months but only 4 interview calls. Resume seems to fail ATS screening despite following Scaler format guidelines. || Resolution: Connected with placement team for ATS optimization and keyword analysis</v>
      </c>
      <c r="X86" s="2" cm="1">
        <f t="array" aca="1" ref="X86" ca="1">IF(NPS_Data[[#This Row],[CleanRemark]]="","",
   SUMPRODUCT(CODE(MID(NPS_Data[[#This Row],[CleanRemark]],ROW(INDIRECT("1:"&amp;LEN(NPS_Data[[#This Row],[CleanRemark]]))),1))))</f>
        <v>22620</v>
      </c>
      <c r="Y86" s="2" t="str">
        <f>IF(COUNTIF(NPS_Data[Ticket No],NPS_Data[[#This Row],[Ticket No]])&gt;1,"Duplicate","OK")</f>
        <v>OK</v>
      </c>
      <c r="Z86" s="2" t="str">
        <f ca="1">IF(NPS_Data[[#This Row],[RemarkHash]]="","OK",
   IF(COUNTIF(NPS_Data[RemarkHash],NPS_Data[[#This Row],[RemarkHash]])&gt;1,"RepeatedRemark","OK"))</f>
        <v>OK</v>
      </c>
      <c r="AA86" s="17">
        <f>IF( AND( ISNUMBER(NPS_Data[[#This Row],[CreatedDateTime]]), ISNUMBER(NPS_Data[[#This Row],[ResolvedDateTime]]) ), (NPS_Data[[#This Row],[ResolvedDateTime]] - NPS_Data[[#This Row],[CreatedDateTime]]) * 24, 0 )</f>
        <v>265.45083333319053</v>
      </c>
      <c r="AB86" s="65" t="str">
        <f>IF(NOT(ISNA(NPS_Data[[#This Row],[CreatedDateTime]])),
   YEAR(NPS_Data[[#This Row],[CreatedDateTime]]) &amp; "-" &amp; TEXT(WEEKNUM(NPS_Data[[#This Row],[CreatedDateTime]],2),"00"),
   "")</f>
        <v>2025-34</v>
      </c>
      <c r="AC86" s="14" t="str">
        <f>IF(NOT(ISNA(NPS_Data[[#This Row],[CreatedDateTime]])), TEXT(NPS_Data[[#This Row],[CreatedDateTime]],"YYYY-MM"), "")</f>
        <v>2025-08</v>
      </c>
      <c r="AD86" s="14" t="str">
        <f>IF(NOT(ISNUMBER(NPS_Data[[#This Row],[ResolutionHours]])),"Open", IF(NPS_Data[[#This Row],[ResolutionHours]]&gt;72,"Breach","OK"))</f>
        <v>Breach</v>
      </c>
      <c r="AE86" s="14">
        <f>IF(AND(ISNUMBER(NPS_Data[[#This Row],[CreatedDateTime]]), ISNUMBER(NPS_Data[[#This Row],[ResolvedDateTime]])), 1, 0)</f>
        <v>1</v>
      </c>
      <c r="AF86" s="48" t="str">
        <f>IF(NOT(ISNA(NPS_Data[[#This Row],[CreatedDateTime]])), TEXT(NPS_Data[[#This Row],[CreatedDateTime]],"dddd"), "")</f>
        <v>Saturday</v>
      </c>
    </row>
    <row r="87" spans="1:32" x14ac:dyDescent="0.25">
      <c r="A87" s="2" t="s">
        <v>563</v>
      </c>
      <c r="B87" s="2" t="s">
        <v>396</v>
      </c>
      <c r="C87" s="2" t="s">
        <v>530</v>
      </c>
      <c r="D8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45874.38957175926</v>
      </c>
      <c r="E87" s="2" t="s">
        <v>44</v>
      </c>
      <c r="F87" s="2" t="s">
        <v>120</v>
      </c>
      <c r="G87" s="2" t="s">
        <v>564</v>
      </c>
      <c r="H87"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45882.387638888889</v>
      </c>
      <c r="I87" s="2" t="s">
        <v>23</v>
      </c>
      <c r="J87" s="2" t="s">
        <v>23</v>
      </c>
      <c r="K87" s="2" t="s">
        <v>56</v>
      </c>
      <c r="L87" s="2" t="s">
        <v>565</v>
      </c>
      <c r="M87" s="2" t="s">
        <v>566</v>
      </c>
      <c r="N87" s="2" t="s">
        <v>567</v>
      </c>
      <c r="O87" s="2" t="s">
        <v>28</v>
      </c>
      <c r="P87" s="2" t="s">
        <v>60</v>
      </c>
      <c r="Q87" s="3">
        <v>4</v>
      </c>
      <c r="R87" s="2" t="s">
        <v>30</v>
      </c>
      <c r="S87" s="2" t="s">
        <v>31</v>
      </c>
      <c r="T87" s="2" t="str">
        <f>IF(OR(NPS_Data[[#This Row],[CreatedDateTime]]="",NPS_Data[[#This Row],[Assigned To]]="",NPS_Data[[#This Row],[Issue 2 - NPS]]="",NPS_Data[[#This Row],[Program Name]]=""),"Missing","OK")</f>
        <v>OK</v>
      </c>
      <c r="U87" s="2" t="str">
        <f>IF(
  AND(NPS_Data[[#This Row],[Status]]="Complete", OR(ISNA(NPS_Data[[#This Row],[ResolvedDateTime]]), ISBLANK(NPS_Data[[#This Row],[ResolvedDateTime]]))),
  "CompleteNoResolved",
  IF(
    AND(NPS_Data[[#This Row],[Status]]="Pending", NPS_Data[[#This Row],[Sub Status]]="Solved"),
    "PendingButSolved",
    "OK"
  )
)</f>
        <v>OK</v>
      </c>
      <c r="V8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87" s="2" t="str">
        <f>IFERROR(TRIM(CLEAN(NPS_Data[[#This Row],[Ticket All Remarks]])),"")</f>
        <v>Holiday classes scheduled during Diwali week without considering festival commitments. Attendance drops to 30% affecting AIML Jul25 momentum. || Resolution: Rescheduled holiday periods and created festival-friendly calendar</v>
      </c>
      <c r="X87" s="2" cm="1">
        <f t="array" aca="1" ref="X87" ca="1">IF(NPS_Data[[#This Row],[CleanRemark]]="","",
   SUMPRODUCT(CODE(MID(NPS_Data[[#This Row],[CleanRemark]],ROW(INDIRECT("1:"&amp;LEN(NPS_Data[[#This Row],[CleanRemark]]))),1))))</f>
        <v>21118</v>
      </c>
      <c r="Y87" s="2" t="str">
        <f>IF(COUNTIF(NPS_Data[Ticket No],NPS_Data[[#This Row],[Ticket No]])&gt;1,"Duplicate","OK")</f>
        <v>OK</v>
      </c>
      <c r="Z87" s="2" t="str">
        <f ca="1">IF(NPS_Data[[#This Row],[RemarkHash]]="","OK",
   IF(COUNTIF(NPS_Data[RemarkHash],NPS_Data[[#This Row],[RemarkHash]])&gt;1,"RepeatedRemark","OK"))</f>
        <v>RepeatedRemark</v>
      </c>
      <c r="AA87" s="17">
        <f>IF( AND( ISNUMBER(NPS_Data[[#This Row],[CreatedDateTime]]), ISNUMBER(NPS_Data[[#This Row],[ResolvedDateTime]]) ), (NPS_Data[[#This Row],[ResolvedDateTime]] - NPS_Data[[#This Row],[CreatedDateTime]]) * 24, 0 )</f>
        <v>191.95361111109378</v>
      </c>
      <c r="AB87" s="65" t="str">
        <f>IF(NOT(ISNA(NPS_Data[[#This Row],[CreatedDateTime]])),
   YEAR(NPS_Data[[#This Row],[CreatedDateTime]]) &amp; "-" &amp; TEXT(WEEKNUM(NPS_Data[[#This Row],[CreatedDateTime]],2),"00"),
   "")</f>
        <v>2025-32</v>
      </c>
      <c r="AC87" s="14" t="str">
        <f>IF(NOT(ISNA(NPS_Data[[#This Row],[CreatedDateTime]])), TEXT(NPS_Data[[#This Row],[CreatedDateTime]],"YYYY-MM"), "")</f>
        <v>2025-08</v>
      </c>
      <c r="AD87" s="14" t="str">
        <f>IF(NOT(ISNUMBER(NPS_Data[[#This Row],[ResolutionHours]])),"Open", IF(NPS_Data[[#This Row],[ResolutionHours]]&gt;72,"Breach","OK"))</f>
        <v>Breach</v>
      </c>
      <c r="AE87" s="14">
        <f>IF(AND(ISNUMBER(NPS_Data[[#This Row],[CreatedDateTime]]), ISNUMBER(NPS_Data[[#This Row],[ResolvedDateTime]])), 1, 0)</f>
        <v>1</v>
      </c>
      <c r="AF87" s="48" t="str">
        <f>IF(NOT(ISNA(NPS_Data[[#This Row],[CreatedDateTime]])), TEXT(NPS_Data[[#This Row],[CreatedDateTime]],"dddd"), "")</f>
        <v>Tuesday</v>
      </c>
    </row>
    <row r="88" spans="1:32" x14ac:dyDescent="0.25">
      <c r="A88" s="2" t="s">
        <v>568</v>
      </c>
      <c r="B88" s="2" t="s">
        <v>120</v>
      </c>
      <c r="C88" s="2" t="s">
        <v>569</v>
      </c>
      <c r="D8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45882.853437500002</v>
      </c>
      <c r="E88" s="2" t="s">
        <v>104</v>
      </c>
      <c r="F88" s="2" t="s">
        <v>364</v>
      </c>
      <c r="G88" s="2" t="s">
        <v>570</v>
      </c>
      <c r="H88"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45883.595219907409</v>
      </c>
      <c r="I88" s="2" t="s">
        <v>23</v>
      </c>
      <c r="J88" s="2" t="s">
        <v>23</v>
      </c>
      <c r="K88" s="2" t="s">
        <v>56</v>
      </c>
      <c r="L88" s="2" t="s">
        <v>571</v>
      </c>
      <c r="M88" s="2" t="s">
        <v>572</v>
      </c>
      <c r="N88" s="2" t="s">
        <v>230</v>
      </c>
      <c r="O88" s="2" t="s">
        <v>48</v>
      </c>
      <c r="P88" s="2" t="s">
        <v>29</v>
      </c>
      <c r="Q88" s="3">
        <v>8</v>
      </c>
      <c r="R88" s="2" t="s">
        <v>30</v>
      </c>
      <c r="S88" s="2" t="s">
        <v>31</v>
      </c>
      <c r="T88" s="2" t="str">
        <f>IF(OR(NPS_Data[[#This Row],[CreatedDateTime]]="",NPS_Data[[#This Row],[Assigned To]]="",NPS_Data[[#This Row],[Issue 2 - NPS]]="",NPS_Data[[#This Row],[Program Name]]=""),"Missing","OK")</f>
        <v>OK</v>
      </c>
      <c r="U88" s="2" t="str">
        <f>IF(
  AND(NPS_Data[[#This Row],[Status]]="Complete", OR(ISNA(NPS_Data[[#This Row],[ResolvedDateTime]]), ISBLANK(NPS_Data[[#This Row],[ResolvedDateTime]]))),
  "CompleteNoResolved",
  IF(
    AND(NPS_Data[[#This Row],[Status]]="Pending", NPS_Data[[#This Row],[Sub Status]]="Solved"),
    "PendingButSolved",
    "OK"
  )
)</f>
        <v>OK</v>
      </c>
      <c r="V8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88" s="2" t="str">
        <f>IFERROR(TRIM(CLEAN(NPS_Data[[#This Row],[Ticket All Remarks]])),"")</f>
        <v>Real-time project deployment challenges not addressed in curriculum. Local development works but AWS deployment fails with configuration issues. || Resolution: Created deployment workshop series with hands-on troubleshooting</v>
      </c>
      <c r="X88" s="2" cm="1">
        <f t="array" aca="1" ref="X88" ca="1">IF(NPS_Data[[#This Row],[CleanRemark]]="","",
   SUMPRODUCT(CODE(MID(NPS_Data[[#This Row],[CleanRemark]],ROW(INDIRECT("1:"&amp;LEN(NPS_Data[[#This Row],[CleanRemark]]))),1))))</f>
        <v>21801</v>
      </c>
      <c r="Y88" s="2" t="str">
        <f>IF(COUNTIF(NPS_Data[Ticket No],NPS_Data[[#This Row],[Ticket No]])&gt;1,"Duplicate","OK")</f>
        <v>OK</v>
      </c>
      <c r="Z88" s="2" t="str">
        <f ca="1">IF(NPS_Data[[#This Row],[RemarkHash]]="","OK",
   IF(COUNTIF(NPS_Data[RemarkHash],NPS_Data[[#This Row],[RemarkHash]])&gt;1,"RepeatedRemark","OK"))</f>
        <v>RepeatedRemark</v>
      </c>
      <c r="AA88" s="17">
        <f>IF( AND( ISNUMBER(NPS_Data[[#This Row],[CreatedDateTime]]), ISNUMBER(NPS_Data[[#This Row],[ResolvedDateTime]]) ), (NPS_Data[[#This Row],[ResolvedDateTime]] - NPS_Data[[#This Row],[CreatedDateTime]]) * 24, 0 )</f>
        <v>17.802777777775191</v>
      </c>
      <c r="AB88" s="65" t="str">
        <f>IF(NOT(ISNA(NPS_Data[[#This Row],[CreatedDateTime]])),
   YEAR(NPS_Data[[#This Row],[CreatedDateTime]]) &amp; "-" &amp; TEXT(WEEKNUM(NPS_Data[[#This Row],[CreatedDateTime]],2),"00"),
   "")</f>
        <v>2025-33</v>
      </c>
      <c r="AC88" s="14" t="str">
        <f>IF(NOT(ISNA(NPS_Data[[#This Row],[CreatedDateTime]])), TEXT(NPS_Data[[#This Row],[CreatedDateTime]],"YYYY-MM"), "")</f>
        <v>2025-08</v>
      </c>
      <c r="AD88" s="14" t="str">
        <f>IF(NOT(ISNUMBER(NPS_Data[[#This Row],[ResolutionHours]])),"Open", IF(NPS_Data[[#This Row],[ResolutionHours]]&gt;72,"Breach","OK"))</f>
        <v>OK</v>
      </c>
      <c r="AE88" s="14">
        <f>IF(AND(ISNUMBER(NPS_Data[[#This Row],[CreatedDateTime]]), ISNUMBER(NPS_Data[[#This Row],[ResolvedDateTime]])), 1, 0)</f>
        <v>1</v>
      </c>
      <c r="AF88" s="48" t="str">
        <f>IF(NOT(ISNA(NPS_Data[[#This Row],[CreatedDateTime]])), TEXT(NPS_Data[[#This Row],[CreatedDateTime]],"dddd"), "")</f>
        <v>Wednesday</v>
      </c>
    </row>
    <row r="89" spans="1:32" x14ac:dyDescent="0.25">
      <c r="A89" s="2" t="s">
        <v>573</v>
      </c>
      <c r="B89" s="2" t="s">
        <v>63</v>
      </c>
      <c r="C89" s="2" t="s">
        <v>574</v>
      </c>
      <c r="D8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45921.555625000001</v>
      </c>
      <c r="E89" s="2" t="s">
        <v>20</v>
      </c>
      <c r="F89" s="2" t="s">
        <v>519</v>
      </c>
      <c r="G89" s="2" t="s">
        <v>575</v>
      </c>
      <c r="H89"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45928.435856481483</v>
      </c>
      <c r="I89" s="2" t="s">
        <v>23</v>
      </c>
      <c r="J89" s="2" t="s">
        <v>23</v>
      </c>
      <c r="K89" s="2" t="s">
        <v>56</v>
      </c>
      <c r="L89" s="2" t="s">
        <v>576</v>
      </c>
      <c r="M89" s="2" t="s">
        <v>577</v>
      </c>
      <c r="N89" s="2" t="s">
        <v>578</v>
      </c>
      <c r="O89" s="2" t="s">
        <v>177</v>
      </c>
      <c r="P89" s="2" t="s">
        <v>60</v>
      </c>
      <c r="Q89" s="3">
        <v>7</v>
      </c>
      <c r="R89" s="2" t="s">
        <v>30</v>
      </c>
      <c r="S89" s="2" t="s">
        <v>31</v>
      </c>
      <c r="T89" s="2" t="str">
        <f>IF(OR(NPS_Data[[#This Row],[CreatedDateTime]]="",NPS_Data[[#This Row],[Assigned To]]="",NPS_Data[[#This Row],[Issue 2 - NPS]]="",NPS_Data[[#This Row],[Program Name]]=""),"Missing","OK")</f>
        <v>OK</v>
      </c>
      <c r="U89" s="2" t="str">
        <f>IF(
  AND(NPS_Data[[#This Row],[Status]]="Complete", OR(ISNA(NPS_Data[[#This Row],[ResolvedDateTime]]), ISBLANK(NPS_Data[[#This Row],[ResolvedDateTime]]))),
  "CompleteNoResolved",
  IF(
    AND(NPS_Data[[#This Row],[Status]]="Pending", NPS_Data[[#This Row],[Sub Status]]="Solved"),
    "PendingButSolved",
    "OK"
  )
)</f>
        <v>OK</v>
      </c>
      <c r="V8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89" s="2" t="str">
        <f>IFERROR(TRIM(CLEAN(NPS_Data[[#This Row],[Ticket All Remarks]])),"")</f>
        <v>Holiday classes scheduled during Diwali week without considering festival commitments. Attendance drops to 30% affecting DevOps Jul25 momentum. || Resolution: Rescheduled holiday periods and created festival-friendly calendar</v>
      </c>
      <c r="X89" s="2" cm="1">
        <f t="array" aca="1" ref="X89" ca="1">IF(NPS_Data[[#This Row],[CleanRemark]]="","",
   SUMPRODUCT(CODE(MID(NPS_Data[[#This Row],[CleanRemark]],ROW(INDIRECT("1:"&amp;LEN(NPS_Data[[#This Row],[CleanRemark]]))),1))))</f>
        <v>21420</v>
      </c>
      <c r="Y89" s="2" t="str">
        <f>IF(COUNTIF(NPS_Data[Ticket No],NPS_Data[[#This Row],[Ticket No]])&gt;1,"Duplicate","OK")</f>
        <v>OK</v>
      </c>
      <c r="Z89" s="2" t="str">
        <f ca="1">IF(NPS_Data[[#This Row],[RemarkHash]]="","OK",
   IF(COUNTIF(NPS_Data[RemarkHash],NPS_Data[[#This Row],[RemarkHash]])&gt;1,"RepeatedRemark","OK"))</f>
        <v>OK</v>
      </c>
      <c r="AA89" s="17">
        <f>IF( AND( ISNUMBER(NPS_Data[[#This Row],[CreatedDateTime]]), ISNUMBER(NPS_Data[[#This Row],[ResolvedDateTime]]) ), (NPS_Data[[#This Row],[ResolvedDateTime]] - NPS_Data[[#This Row],[CreatedDateTime]]) * 24, 0 )</f>
        <v>165.12555555556901</v>
      </c>
      <c r="AB89" s="65" t="str">
        <f>IF(NOT(ISNA(NPS_Data[[#This Row],[CreatedDateTime]])),
   YEAR(NPS_Data[[#This Row],[CreatedDateTime]]) &amp; "-" &amp; TEXT(WEEKNUM(NPS_Data[[#This Row],[CreatedDateTime]],2),"00"),
   "")</f>
        <v>2025-38</v>
      </c>
      <c r="AC89" s="14" t="str">
        <f>IF(NOT(ISNA(NPS_Data[[#This Row],[CreatedDateTime]])), TEXT(NPS_Data[[#This Row],[CreatedDateTime]],"YYYY-MM"), "")</f>
        <v>2025-09</v>
      </c>
      <c r="AD89" s="14" t="str">
        <f>IF(NOT(ISNUMBER(NPS_Data[[#This Row],[ResolutionHours]])),"Open", IF(NPS_Data[[#This Row],[ResolutionHours]]&gt;72,"Breach","OK"))</f>
        <v>Breach</v>
      </c>
      <c r="AE89" s="14">
        <f>IF(AND(ISNUMBER(NPS_Data[[#This Row],[CreatedDateTime]]), ISNUMBER(NPS_Data[[#This Row],[ResolvedDateTime]])), 1, 0)</f>
        <v>1</v>
      </c>
      <c r="AF89" s="48" t="str">
        <f>IF(NOT(ISNA(NPS_Data[[#This Row],[CreatedDateTime]])), TEXT(NPS_Data[[#This Row],[CreatedDateTime]],"dddd"), "")</f>
        <v>Sunday</v>
      </c>
    </row>
    <row r="90" spans="1:32" x14ac:dyDescent="0.25">
      <c r="A90" s="2" t="s">
        <v>579</v>
      </c>
      <c r="B90" s="2" t="s">
        <v>102</v>
      </c>
      <c r="C90" s="2" t="s">
        <v>580</v>
      </c>
      <c r="D9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45915.768946759257</v>
      </c>
      <c r="E90" s="2" t="s">
        <v>71</v>
      </c>
      <c r="F90" s="2" t="s">
        <v>161</v>
      </c>
      <c r="G90" s="2" t="s">
        <v>581</v>
      </c>
      <c r="H90"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45927.682268518518</v>
      </c>
      <c r="I90" s="2" t="s">
        <v>23</v>
      </c>
      <c r="J90" s="2" t="s">
        <v>23</v>
      </c>
      <c r="K90" s="2" t="s">
        <v>38</v>
      </c>
      <c r="L90" s="2" t="s">
        <v>582</v>
      </c>
      <c r="M90" s="2" t="s">
        <v>583</v>
      </c>
      <c r="N90" s="2" t="s">
        <v>584</v>
      </c>
      <c r="O90" s="2" t="s">
        <v>28</v>
      </c>
      <c r="P90" s="2" t="s">
        <v>585</v>
      </c>
      <c r="Q90" s="3">
        <v>6</v>
      </c>
      <c r="R90" s="2" t="s">
        <v>30</v>
      </c>
      <c r="S90" s="2" t="s">
        <v>31</v>
      </c>
      <c r="T90" s="2" t="str">
        <f>IF(OR(NPS_Data[[#This Row],[CreatedDateTime]]="",NPS_Data[[#This Row],[Assigned To]]="",NPS_Data[[#This Row],[Issue 2 - NPS]]="",NPS_Data[[#This Row],[Program Name]]=""),"Missing","OK")</f>
        <v>OK</v>
      </c>
      <c r="U90" s="2" t="str">
        <f>IF(
  AND(NPS_Data[[#This Row],[Status]]="Complete", OR(ISNA(NPS_Data[[#This Row],[ResolvedDateTime]]), ISBLANK(NPS_Data[[#This Row],[ResolvedDateTime]]))),
  "CompleteNoResolved",
  IF(
    AND(NPS_Data[[#This Row],[Status]]="Pending", NPS_Data[[#This Row],[Sub Status]]="Solved"),
    "PendingButSolved",
    "OK"
  )
)</f>
        <v>OK</v>
      </c>
      <c r="V9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90" s="2" t="str">
        <f>IFERROR(TRIM(CLEAN(NPS_Data[[#This Row],[Ticket All Remarks]])),"")</f>
        <v>Audio-video sync issues during recorded playback. Instructor Lisa Chen's voice doesn't match lip movement by 2-3 seconds. Distracting during learning. || Resolution: Fixed encoding pipeline and re-processed affected recordings</v>
      </c>
      <c r="X90" s="2" cm="1">
        <f t="array" aca="1" ref="X90" ca="1">IF(NPS_Data[[#This Row],[CleanRemark]]="","",
   SUMPRODUCT(CODE(MID(NPS_Data[[#This Row],[CleanRemark]],ROW(INDIRECT("1:"&amp;LEN(NPS_Data[[#This Row],[CleanRemark]]))),1))))</f>
        <v>21275</v>
      </c>
      <c r="Y90" s="2" t="str">
        <f>IF(COUNTIF(NPS_Data[Ticket No],NPS_Data[[#This Row],[Ticket No]])&gt;1,"Duplicate","OK")</f>
        <v>OK</v>
      </c>
      <c r="Z90" s="2" t="str">
        <f ca="1">IF(NPS_Data[[#This Row],[RemarkHash]]="","OK",
   IF(COUNTIF(NPS_Data[RemarkHash],NPS_Data[[#This Row],[RemarkHash]])&gt;1,"RepeatedRemark","OK"))</f>
        <v>OK</v>
      </c>
      <c r="AA90" s="17">
        <f>IF( AND( ISNUMBER(NPS_Data[[#This Row],[CreatedDateTime]]), ISNUMBER(NPS_Data[[#This Row],[ResolvedDateTime]]) ), (NPS_Data[[#This Row],[ResolvedDateTime]] - NPS_Data[[#This Row],[CreatedDateTime]]) * 24, 0 )</f>
        <v>285.91972222225741</v>
      </c>
      <c r="AB90" s="65" t="str">
        <f>IF(NOT(ISNA(NPS_Data[[#This Row],[CreatedDateTime]])),
   YEAR(NPS_Data[[#This Row],[CreatedDateTime]]) &amp; "-" &amp; TEXT(WEEKNUM(NPS_Data[[#This Row],[CreatedDateTime]],2),"00"),
   "")</f>
        <v>2025-38</v>
      </c>
      <c r="AC90" s="14" t="str">
        <f>IF(NOT(ISNA(NPS_Data[[#This Row],[CreatedDateTime]])), TEXT(NPS_Data[[#This Row],[CreatedDateTime]],"YYYY-MM"), "")</f>
        <v>2025-09</v>
      </c>
      <c r="AD90" s="14" t="str">
        <f>IF(NOT(ISNUMBER(NPS_Data[[#This Row],[ResolutionHours]])),"Open", IF(NPS_Data[[#This Row],[ResolutionHours]]&gt;72,"Breach","OK"))</f>
        <v>Breach</v>
      </c>
      <c r="AE90" s="14">
        <f>IF(AND(ISNUMBER(NPS_Data[[#This Row],[CreatedDateTime]]), ISNUMBER(NPS_Data[[#This Row],[ResolvedDateTime]])), 1, 0)</f>
        <v>1</v>
      </c>
      <c r="AF90" s="48" t="str">
        <f>IF(NOT(ISNA(NPS_Data[[#This Row],[CreatedDateTime]])), TEXT(NPS_Data[[#This Row],[CreatedDateTime]],"dddd"), "")</f>
        <v>Monday</v>
      </c>
    </row>
    <row r="91" spans="1:32" x14ac:dyDescent="0.25">
      <c r="A91" s="2" t="s">
        <v>586</v>
      </c>
      <c r="B91" s="2" t="s">
        <v>52</v>
      </c>
      <c r="C91" s="2" t="s">
        <v>587</v>
      </c>
      <c r="D9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45913.461284722223</v>
      </c>
      <c r="E91" s="2" t="s">
        <v>167</v>
      </c>
      <c r="F91" s="2" t="s">
        <v>197</v>
      </c>
      <c r="G91" s="2" t="s">
        <v>588</v>
      </c>
      <c r="H91"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45914.49627314815</v>
      </c>
      <c r="I91" s="2" t="s">
        <v>23</v>
      </c>
      <c r="J91" s="2" t="s">
        <v>23</v>
      </c>
      <c r="K91" s="2" t="s">
        <v>38</v>
      </c>
      <c r="L91" s="2" t="s">
        <v>589</v>
      </c>
      <c r="M91" s="2" t="s">
        <v>590</v>
      </c>
      <c r="N91" s="2" t="s">
        <v>591</v>
      </c>
      <c r="O91" s="2" t="s">
        <v>41</v>
      </c>
      <c r="P91" s="2" t="s">
        <v>585</v>
      </c>
      <c r="Q91" s="3">
        <v>7</v>
      </c>
      <c r="R91" s="2" t="s">
        <v>30</v>
      </c>
      <c r="S91" s="2" t="s">
        <v>31</v>
      </c>
      <c r="T91" s="2" t="str">
        <f>IF(OR(NPS_Data[[#This Row],[CreatedDateTime]]="",NPS_Data[[#This Row],[Assigned To]]="",NPS_Data[[#This Row],[Issue 2 - NPS]]="",NPS_Data[[#This Row],[Program Name]]=""),"Missing","OK")</f>
        <v>OK</v>
      </c>
      <c r="U91" s="2" t="str">
        <f>IF(
  AND(NPS_Data[[#This Row],[Status]]="Complete", OR(ISNA(NPS_Data[[#This Row],[ResolvedDateTime]]), ISBLANK(NPS_Data[[#This Row],[ResolvedDateTime]]))),
  "CompleteNoResolved",
  IF(
    AND(NPS_Data[[#This Row],[Status]]="Pending", NPS_Data[[#This Row],[Sub Status]]="Solved"),
    "PendingButSolved",
    "OK"
  )
)</f>
        <v>OK</v>
      </c>
      <c r="V9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91" s="2" t="str">
        <f>IFERROR(TRIM(CLEAN(NPS_Data[[#This Row],[Ticket All Remarks]])),"")</f>
        <v>Audio-video sync issues during recorded playback. Instructor Mike Rodriguez's voice doesn't match lip movement by 2-3 seconds. Distracting during learning. || Resolution: Fixed encoding pipeline and re-processed affected recordings</v>
      </c>
      <c r="X91" s="2" cm="1">
        <f t="array" aca="1" ref="X91" ca="1">IF(NPS_Data[[#This Row],[CleanRemark]]="","",
   SUMPRODUCT(CODE(MID(NPS_Data[[#This Row],[CleanRemark]],ROW(INDIRECT("1:"&amp;LEN(NPS_Data[[#This Row],[CleanRemark]]))),1))))</f>
        <v>21845</v>
      </c>
      <c r="Y91" s="2" t="str">
        <f>IF(COUNTIF(NPS_Data[Ticket No],NPS_Data[[#This Row],[Ticket No]])&gt;1,"Duplicate","OK")</f>
        <v>OK</v>
      </c>
      <c r="Z91" s="2" t="str">
        <f ca="1">IF(NPS_Data[[#This Row],[RemarkHash]]="","OK",
   IF(COUNTIF(NPS_Data[RemarkHash],NPS_Data[[#This Row],[RemarkHash]])&gt;1,"RepeatedRemark","OK"))</f>
        <v>OK</v>
      </c>
      <c r="AA91" s="17">
        <f>IF( AND( ISNUMBER(NPS_Data[[#This Row],[CreatedDateTime]]), ISNUMBER(NPS_Data[[#This Row],[ResolvedDateTime]]) ), (NPS_Data[[#This Row],[ResolvedDateTime]] - NPS_Data[[#This Row],[CreatedDateTime]]) * 24, 0 )</f>
        <v>24.839722222241107</v>
      </c>
      <c r="AB91" s="65" t="str">
        <f>IF(NOT(ISNA(NPS_Data[[#This Row],[CreatedDateTime]])),
   YEAR(NPS_Data[[#This Row],[CreatedDateTime]]) &amp; "-" &amp; TEXT(WEEKNUM(NPS_Data[[#This Row],[CreatedDateTime]],2),"00"),
   "")</f>
        <v>2025-37</v>
      </c>
      <c r="AC91" s="14" t="str">
        <f>IF(NOT(ISNA(NPS_Data[[#This Row],[CreatedDateTime]])), TEXT(NPS_Data[[#This Row],[CreatedDateTime]],"YYYY-MM"), "")</f>
        <v>2025-09</v>
      </c>
      <c r="AD91" s="14" t="str">
        <f>IF(NOT(ISNUMBER(NPS_Data[[#This Row],[ResolutionHours]])),"Open", IF(NPS_Data[[#This Row],[ResolutionHours]]&gt;72,"Breach","OK"))</f>
        <v>OK</v>
      </c>
      <c r="AE91" s="14">
        <f>IF(AND(ISNUMBER(NPS_Data[[#This Row],[CreatedDateTime]]), ISNUMBER(NPS_Data[[#This Row],[ResolvedDateTime]])), 1, 0)</f>
        <v>1</v>
      </c>
      <c r="AF91" s="48" t="str">
        <f>IF(NOT(ISNA(NPS_Data[[#This Row],[CreatedDateTime]])), TEXT(NPS_Data[[#This Row],[CreatedDateTime]],"dddd"), "")</f>
        <v>Saturday</v>
      </c>
    </row>
    <row r="92" spans="1:32" x14ac:dyDescent="0.25">
      <c r="A92" s="2" t="s">
        <v>592</v>
      </c>
      <c r="B92" s="2" t="s">
        <v>301</v>
      </c>
      <c r="C92" s="2" t="s">
        <v>593</v>
      </c>
      <c r="D9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45898.724594907406</v>
      </c>
      <c r="E92" s="2" t="s">
        <v>167</v>
      </c>
      <c r="H92"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92" s="2" t="s">
        <v>23</v>
      </c>
      <c r="J92" s="2" t="s">
        <v>23</v>
      </c>
      <c r="K92" s="2" t="s">
        <v>38</v>
      </c>
      <c r="L92" s="2" t="s">
        <v>589</v>
      </c>
      <c r="M92" s="2" t="s">
        <v>594</v>
      </c>
      <c r="N92" s="2" t="s">
        <v>462</v>
      </c>
      <c r="O92" s="2" t="s">
        <v>41</v>
      </c>
      <c r="P92" s="2" t="s">
        <v>29</v>
      </c>
      <c r="Q92" s="3">
        <v>2</v>
      </c>
      <c r="R92" s="2" t="s">
        <v>49</v>
      </c>
      <c r="S92" s="2" t="s">
        <v>116</v>
      </c>
      <c r="T92" s="2" t="str">
        <f>IF(OR(NPS_Data[[#This Row],[CreatedDateTime]]="",NPS_Data[[#This Row],[Assigned To]]="",NPS_Data[[#This Row],[Issue 2 - NPS]]="",NPS_Data[[#This Row],[Program Name]]=""),"Missing","OK")</f>
        <v>OK</v>
      </c>
      <c r="U92" s="2" t="str">
        <f>IF(
  AND(NPS_Data[[#This Row],[Status]]="Complete", OR(ISNA(NPS_Data[[#This Row],[ResolvedDateTime]]), ISBLANK(NPS_Data[[#This Row],[ResolvedDateTime]]))),
  "CompleteNoResolved",
  IF(
    AND(NPS_Data[[#This Row],[Status]]="Pending", NPS_Data[[#This Row],[Sub Status]]="Solved"),
    "PendingButSolved",
    "OK"
  )
)</f>
        <v>OK</v>
      </c>
      <c r="V9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92" s="2" t="str">
        <f>IFERROR(TRIM(CLEAN(NPS_Data[[#This Row],[Ticket All Remarks]])),"")</f>
        <v>Capstone project requirements unclear and keep changing. Initially asked for web app, then data analysis, now ML model. Wasted 3 weeks on wrong direction. || Resolution: Standardized project requirements and assigned dedicated project coordinator</v>
      </c>
      <c r="X92" s="2" cm="1">
        <f t="array" aca="1" ref="X92" ca="1">IF(NPS_Data[[#This Row],[CleanRemark]]="","",
   SUMPRODUCT(CODE(MID(NPS_Data[[#This Row],[CleanRemark]],ROW(INDIRECT("1:"&amp;LEN(NPS_Data[[#This Row],[CleanRemark]]))),1))))</f>
        <v>23321</v>
      </c>
      <c r="Y92" s="2" t="str">
        <f>IF(COUNTIF(NPS_Data[Ticket No],NPS_Data[[#This Row],[Ticket No]])&gt;1,"Duplicate","OK")</f>
        <v>OK</v>
      </c>
      <c r="Z92" s="2" t="str">
        <f ca="1">IF(NPS_Data[[#This Row],[RemarkHash]]="","OK",
   IF(COUNTIF(NPS_Data[RemarkHash],NPS_Data[[#This Row],[RemarkHash]])&gt;1,"RepeatedRemark","OK"))</f>
        <v>RepeatedRemark</v>
      </c>
      <c r="AA92" s="17">
        <f>IF( AND( ISNUMBER(NPS_Data[[#This Row],[CreatedDateTime]]), ISNUMBER(NPS_Data[[#This Row],[ResolvedDateTime]]) ), (NPS_Data[[#This Row],[ResolvedDateTime]] - NPS_Data[[#This Row],[CreatedDateTime]]) * 24, 0 )</f>
        <v>0</v>
      </c>
      <c r="AB92" s="65" t="str">
        <f>IF(NOT(ISNA(NPS_Data[[#This Row],[CreatedDateTime]])),
   YEAR(NPS_Data[[#This Row],[CreatedDateTime]]) &amp; "-" &amp; TEXT(WEEKNUM(NPS_Data[[#This Row],[CreatedDateTime]],2),"00"),
   "")</f>
        <v>2025-35</v>
      </c>
      <c r="AC92" s="14" t="str">
        <f>IF(NOT(ISNA(NPS_Data[[#This Row],[CreatedDateTime]])), TEXT(NPS_Data[[#This Row],[CreatedDateTime]],"YYYY-MM"), "")</f>
        <v>2025-08</v>
      </c>
      <c r="AD92" s="14" t="str">
        <f>IF(NOT(ISNUMBER(NPS_Data[[#This Row],[ResolutionHours]])),"Open", IF(NPS_Data[[#This Row],[ResolutionHours]]&gt;72,"Breach","OK"))</f>
        <v>OK</v>
      </c>
      <c r="AE92" s="14">
        <f>IF(AND(ISNUMBER(NPS_Data[[#This Row],[CreatedDateTime]]), ISNUMBER(NPS_Data[[#This Row],[ResolvedDateTime]])), 1, 0)</f>
        <v>0</v>
      </c>
      <c r="AF92" s="48" t="str">
        <f>IF(NOT(ISNA(NPS_Data[[#This Row],[CreatedDateTime]])), TEXT(NPS_Data[[#This Row],[CreatedDateTime]],"dddd"), "")</f>
        <v>Friday</v>
      </c>
    </row>
    <row r="93" spans="1:32" x14ac:dyDescent="0.25">
      <c r="A93" s="2" t="s">
        <v>595</v>
      </c>
      <c r="B93" s="2" t="s">
        <v>596</v>
      </c>
      <c r="C93" s="2" t="s">
        <v>597</v>
      </c>
      <c r="D9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45881.527291666665</v>
      </c>
      <c r="E93" s="2" t="s">
        <v>87</v>
      </c>
      <c r="F93" s="2" t="s">
        <v>343</v>
      </c>
      <c r="G93" s="2" t="s">
        <v>598</v>
      </c>
      <c r="H93"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45888.713379629633</v>
      </c>
      <c r="I93" s="2" t="s">
        <v>23</v>
      </c>
      <c r="J93" s="2" t="s">
        <v>23</v>
      </c>
      <c r="K93" s="2" t="s">
        <v>88</v>
      </c>
      <c r="L93" s="2" t="s">
        <v>599</v>
      </c>
      <c r="M93" s="2" t="s">
        <v>600</v>
      </c>
      <c r="N93" s="2" t="s">
        <v>601</v>
      </c>
      <c r="O93" s="2" t="s">
        <v>48</v>
      </c>
      <c r="P93" s="2" t="s">
        <v>242</v>
      </c>
      <c r="Q93" s="3">
        <v>7</v>
      </c>
      <c r="R93" s="2" t="s">
        <v>30</v>
      </c>
      <c r="S93" s="2" t="s">
        <v>31</v>
      </c>
      <c r="T93" s="2" t="str">
        <f>IF(OR(NPS_Data[[#This Row],[CreatedDateTime]]="",NPS_Data[[#This Row],[Assigned To]]="",NPS_Data[[#This Row],[Issue 2 - NPS]]="",NPS_Data[[#This Row],[Program Name]]=""),"Missing","OK")</f>
        <v>OK</v>
      </c>
      <c r="U93" s="2" t="str">
        <f>IF(
  AND(NPS_Data[[#This Row],[Status]]="Complete", OR(ISNA(NPS_Data[[#This Row],[ResolvedDateTime]]), ISBLANK(NPS_Data[[#This Row],[ResolvedDateTime]]))),
  "CompleteNoResolved",
  IF(
    AND(NPS_Data[[#This Row],[Status]]="Pending", NPS_Data[[#This Row],[Sub Status]]="Solved"),
    "PendingButSolved",
    "OK"
  )
)</f>
        <v>OK</v>
      </c>
      <c r="V9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93" s="2" t="str">
        <f>IFERROR(TRIM(CLEAN(NPS_Data[[#This Row],[Ticket All Remarks]])),"")</f>
        <v>Applied to 43 DevOps positions but recruiters say experience looks theoretical. Need real production environment projects to demonstrate practical skills. || Resolution: Arranged internship-style capstone project with live infrastructure</v>
      </c>
      <c r="X93" s="2" cm="1">
        <f t="array" aca="1" ref="X93" ca="1">IF(NPS_Data[[#This Row],[CleanRemark]]="","",
   SUMPRODUCT(CODE(MID(NPS_Data[[#This Row],[CleanRemark]],ROW(INDIRECT("1:"&amp;LEN(NPS_Data[[#This Row],[CleanRemark]]))),1))))</f>
        <v>23075</v>
      </c>
      <c r="Y93" s="2" t="str">
        <f>IF(COUNTIF(NPS_Data[Ticket No],NPS_Data[[#This Row],[Ticket No]])&gt;1,"Duplicate","OK")</f>
        <v>OK</v>
      </c>
      <c r="Z93" s="2" t="str">
        <f ca="1">IF(NPS_Data[[#This Row],[RemarkHash]]="","OK",
   IF(COUNTIF(NPS_Data[RemarkHash],NPS_Data[[#This Row],[RemarkHash]])&gt;1,"RepeatedRemark","OK"))</f>
        <v>RepeatedRemark</v>
      </c>
      <c r="AA93" s="17">
        <f>IF( AND( ISNUMBER(NPS_Data[[#This Row],[CreatedDateTime]]), ISNUMBER(NPS_Data[[#This Row],[ResolvedDateTime]]) ), (NPS_Data[[#This Row],[ResolvedDateTime]] - NPS_Data[[#This Row],[CreatedDateTime]]) * 24, 0 )</f>
        <v>172.46611111122184</v>
      </c>
      <c r="AB93" s="65" t="str">
        <f>IF(NOT(ISNA(NPS_Data[[#This Row],[CreatedDateTime]])),
   YEAR(NPS_Data[[#This Row],[CreatedDateTime]]) &amp; "-" &amp; TEXT(WEEKNUM(NPS_Data[[#This Row],[CreatedDateTime]],2),"00"),
   "")</f>
        <v>2025-33</v>
      </c>
      <c r="AC93" s="14" t="str">
        <f>IF(NOT(ISNA(NPS_Data[[#This Row],[CreatedDateTime]])), TEXT(NPS_Data[[#This Row],[CreatedDateTime]],"YYYY-MM"), "")</f>
        <v>2025-08</v>
      </c>
      <c r="AD93" s="14" t="str">
        <f>IF(NOT(ISNUMBER(NPS_Data[[#This Row],[ResolutionHours]])),"Open", IF(NPS_Data[[#This Row],[ResolutionHours]]&gt;72,"Breach","OK"))</f>
        <v>Breach</v>
      </c>
      <c r="AE93" s="14">
        <f>IF(AND(ISNUMBER(NPS_Data[[#This Row],[CreatedDateTime]]), ISNUMBER(NPS_Data[[#This Row],[ResolvedDateTime]])), 1, 0)</f>
        <v>1</v>
      </c>
      <c r="AF93" s="48" t="str">
        <f>IF(NOT(ISNA(NPS_Data[[#This Row],[CreatedDateTime]])), TEXT(NPS_Data[[#This Row],[CreatedDateTime]],"dddd"), "")</f>
        <v>Tuesday</v>
      </c>
    </row>
    <row r="94" spans="1:32" x14ac:dyDescent="0.25">
      <c r="A94" s="2" t="s">
        <v>602</v>
      </c>
      <c r="B94" s="2" t="s">
        <v>102</v>
      </c>
      <c r="C94" s="2" t="s">
        <v>603</v>
      </c>
      <c r="D9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45915.721493055556</v>
      </c>
      <c r="E94" s="2" t="s">
        <v>44</v>
      </c>
      <c r="F94" s="2" t="s">
        <v>413</v>
      </c>
      <c r="G94" s="2" t="s">
        <v>604</v>
      </c>
      <c r="H94"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45917.612754629627</v>
      </c>
      <c r="I94" s="2" t="s">
        <v>23</v>
      </c>
      <c r="J94" s="2" t="s">
        <v>23</v>
      </c>
      <c r="K94" s="2" t="s">
        <v>38</v>
      </c>
      <c r="L94" s="2" t="s">
        <v>605</v>
      </c>
      <c r="M94" s="2" t="s">
        <v>606</v>
      </c>
      <c r="N94" s="2" t="s">
        <v>607</v>
      </c>
      <c r="O94" s="2" t="s">
        <v>28</v>
      </c>
      <c r="P94" s="2" t="s">
        <v>379</v>
      </c>
      <c r="Q94" s="3">
        <v>7</v>
      </c>
      <c r="R94" s="2" t="s">
        <v>30</v>
      </c>
      <c r="S94" s="2" t="s">
        <v>31</v>
      </c>
      <c r="T94" s="2" t="str">
        <f>IF(OR(NPS_Data[[#This Row],[CreatedDateTime]]="",NPS_Data[[#This Row],[Assigned To]]="",NPS_Data[[#This Row],[Issue 2 - NPS]]="",NPS_Data[[#This Row],[Program Name]]=""),"Missing","OK")</f>
        <v>OK</v>
      </c>
      <c r="U94" s="2" t="str">
        <f>IF(
  AND(NPS_Data[[#This Row],[Status]]="Complete", OR(ISNA(NPS_Data[[#This Row],[ResolvedDateTime]]), ISBLANK(NPS_Data[[#This Row],[ResolvedDateTime]]))),
  "CompleteNoResolved",
  IF(
    AND(NPS_Data[[#This Row],[Status]]="Pending", NPS_Data[[#This Row],[Sub Status]]="Solved"),
    "PendingButSolved",
    "OK"
  )
)</f>
        <v>OK</v>
      </c>
      <c r="V9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94" s="2" t="str">
        <f>IFERROR(TRIM(CLEAN(NPS_Data[[#This Row],[Ticket All Remarks]])),"")</f>
        <v>System Design course only teaches monolithic patterns. Microservices, event-driven architecture, and serverless barely mentioned. Need cloud-native design patterns. || Resolution: Expanding curriculum with 40 hours of distributed systems content</v>
      </c>
      <c r="X94" s="2" cm="1">
        <f t="array" aca="1" ref="X94" ca="1">IF(NPS_Data[[#This Row],[CleanRemark]]="","",
   SUMPRODUCT(CODE(MID(NPS_Data[[#This Row],[CleanRemark]],ROW(INDIRECT("1:"&amp;LEN(NPS_Data[[#This Row],[CleanRemark]]))),1))))</f>
        <v>23664</v>
      </c>
      <c r="Y94" s="2" t="str">
        <f>IF(COUNTIF(NPS_Data[Ticket No],NPS_Data[[#This Row],[Ticket No]])&gt;1,"Duplicate","OK")</f>
        <v>OK</v>
      </c>
      <c r="Z94" s="2" t="str">
        <f ca="1">IF(NPS_Data[[#This Row],[RemarkHash]]="","OK",
   IF(COUNTIF(NPS_Data[RemarkHash],NPS_Data[[#This Row],[RemarkHash]])&gt;1,"RepeatedRemark","OK"))</f>
        <v>RepeatedRemark</v>
      </c>
      <c r="AA94" s="17">
        <f>IF( AND( ISNUMBER(NPS_Data[[#This Row],[CreatedDateTime]]), ISNUMBER(NPS_Data[[#This Row],[ResolvedDateTime]]) ), (NPS_Data[[#This Row],[ResolvedDateTime]] - NPS_Data[[#This Row],[CreatedDateTime]]) * 24, 0 )</f>
        <v>45.390277777682059</v>
      </c>
      <c r="AB94" s="65" t="str">
        <f>IF(NOT(ISNA(NPS_Data[[#This Row],[CreatedDateTime]])),
   YEAR(NPS_Data[[#This Row],[CreatedDateTime]]) &amp; "-" &amp; TEXT(WEEKNUM(NPS_Data[[#This Row],[CreatedDateTime]],2),"00"),
   "")</f>
        <v>2025-38</v>
      </c>
      <c r="AC94" s="14" t="str">
        <f>IF(NOT(ISNA(NPS_Data[[#This Row],[CreatedDateTime]])), TEXT(NPS_Data[[#This Row],[CreatedDateTime]],"YYYY-MM"), "")</f>
        <v>2025-09</v>
      </c>
      <c r="AD94" s="14" t="str">
        <f>IF(NOT(ISNUMBER(NPS_Data[[#This Row],[ResolutionHours]])),"Open", IF(NPS_Data[[#This Row],[ResolutionHours]]&gt;72,"Breach","OK"))</f>
        <v>OK</v>
      </c>
      <c r="AE94" s="14">
        <f>IF(AND(ISNUMBER(NPS_Data[[#This Row],[CreatedDateTime]]), ISNUMBER(NPS_Data[[#This Row],[ResolvedDateTime]])), 1, 0)</f>
        <v>1</v>
      </c>
      <c r="AF94" s="48" t="str">
        <f>IF(NOT(ISNA(NPS_Data[[#This Row],[CreatedDateTime]])), TEXT(NPS_Data[[#This Row],[CreatedDateTime]],"dddd"), "")</f>
        <v>Monday</v>
      </c>
    </row>
    <row r="95" spans="1:32" x14ac:dyDescent="0.25">
      <c r="A95" s="2" t="s">
        <v>608</v>
      </c>
      <c r="B95" s="2" t="s">
        <v>120</v>
      </c>
      <c r="C95" s="2" t="s">
        <v>609</v>
      </c>
      <c r="D9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45882.608055555553</v>
      </c>
      <c r="E95" s="2" t="s">
        <v>167</v>
      </c>
      <c r="H95"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95" s="2" t="s">
        <v>23</v>
      </c>
      <c r="J95" s="2" t="s">
        <v>23</v>
      </c>
      <c r="K95" s="2" t="s">
        <v>38</v>
      </c>
      <c r="L95" s="2" t="s">
        <v>610</v>
      </c>
      <c r="M95" s="2" t="s">
        <v>611</v>
      </c>
      <c r="N95" s="2" t="s">
        <v>311</v>
      </c>
      <c r="O95" s="2" t="s">
        <v>41</v>
      </c>
      <c r="P95" s="2" t="s">
        <v>158</v>
      </c>
      <c r="Q95" s="3">
        <v>6</v>
      </c>
      <c r="R95" s="2" t="s">
        <v>49</v>
      </c>
      <c r="S95" s="2" t="s">
        <v>133</v>
      </c>
      <c r="T95" s="2" t="str">
        <f>IF(OR(NPS_Data[[#This Row],[CreatedDateTime]]="",NPS_Data[[#This Row],[Assigned To]]="",NPS_Data[[#This Row],[Issue 2 - NPS]]="",NPS_Data[[#This Row],[Program Name]]=""),"Missing","OK")</f>
        <v>OK</v>
      </c>
      <c r="U95" s="2" t="str">
        <f>IF(
  AND(NPS_Data[[#This Row],[Status]]="Complete", OR(ISNA(NPS_Data[[#This Row],[ResolvedDateTime]]), ISBLANK(NPS_Data[[#This Row],[ResolvedDateTime]]))),
  "CompleteNoResolved",
  IF(
    AND(NPS_Data[[#This Row],[Status]]="Pending", NPS_Data[[#This Row],[Sub Status]]="Solved"),
    "PendingButSolved",
    "OK"
  )
)</f>
        <v>OK</v>
      </c>
      <c r="V9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95" s="2" t="str">
        <f>IFERROR(TRIM(CLEAN(NPS_Data[[#This Row],[Ticket All Remarks]])),"")</f>
        <v>Weekend Academy Jul25 Intermediate timing (10 AM - 2 PM) conflicts with family time. Children's activities and household responsibilities suffer due to class schedule. || Resolution: Created flexible weekend options with shorter session formats</v>
      </c>
      <c r="X95" s="2" cm="1">
        <f t="array" aca="1" ref="X95" ca="1">IF(NPS_Data[[#This Row],[CleanRemark]]="","",
   SUMPRODUCT(CODE(MID(NPS_Data[[#This Row],[CleanRemark]],ROW(INDIRECT("1:"&amp;LEN(NPS_Data[[#This Row],[CleanRemark]]))),1))))</f>
        <v>22718</v>
      </c>
      <c r="Y95" s="2" t="str">
        <f>IF(COUNTIF(NPS_Data[Ticket No],NPS_Data[[#This Row],[Ticket No]])&gt;1,"Duplicate","OK")</f>
        <v>OK</v>
      </c>
      <c r="Z95" s="2" t="str">
        <f ca="1">IF(NPS_Data[[#This Row],[RemarkHash]]="","OK",
   IF(COUNTIF(NPS_Data[RemarkHash],NPS_Data[[#This Row],[RemarkHash]])&gt;1,"RepeatedRemark","OK"))</f>
        <v>RepeatedRemark</v>
      </c>
      <c r="AA95" s="17">
        <f>IF( AND( ISNUMBER(NPS_Data[[#This Row],[CreatedDateTime]]), ISNUMBER(NPS_Data[[#This Row],[ResolvedDateTime]]) ), (NPS_Data[[#This Row],[ResolvedDateTime]] - NPS_Data[[#This Row],[CreatedDateTime]]) * 24, 0 )</f>
        <v>0</v>
      </c>
      <c r="AB95" s="65" t="str">
        <f>IF(NOT(ISNA(NPS_Data[[#This Row],[CreatedDateTime]])),
   YEAR(NPS_Data[[#This Row],[CreatedDateTime]]) &amp; "-" &amp; TEXT(WEEKNUM(NPS_Data[[#This Row],[CreatedDateTime]],2),"00"),
   "")</f>
        <v>2025-33</v>
      </c>
      <c r="AC95" s="14" t="str">
        <f>IF(NOT(ISNA(NPS_Data[[#This Row],[CreatedDateTime]])), TEXT(NPS_Data[[#This Row],[CreatedDateTime]],"YYYY-MM"), "")</f>
        <v>2025-08</v>
      </c>
      <c r="AD95" s="14" t="str">
        <f>IF(NOT(ISNUMBER(NPS_Data[[#This Row],[ResolutionHours]])),"Open", IF(NPS_Data[[#This Row],[ResolutionHours]]&gt;72,"Breach","OK"))</f>
        <v>OK</v>
      </c>
      <c r="AE95" s="14">
        <f>IF(AND(ISNUMBER(NPS_Data[[#This Row],[CreatedDateTime]]), ISNUMBER(NPS_Data[[#This Row],[ResolvedDateTime]])), 1, 0)</f>
        <v>0</v>
      </c>
      <c r="AF95" s="48" t="str">
        <f>IF(NOT(ISNA(NPS_Data[[#This Row],[CreatedDateTime]])), TEXT(NPS_Data[[#This Row],[CreatedDateTime]],"dddd"), "")</f>
        <v>Wednesday</v>
      </c>
    </row>
    <row r="96" spans="1:32" x14ac:dyDescent="0.25">
      <c r="A96" s="2" t="s">
        <v>612</v>
      </c>
      <c r="B96" s="2" t="s">
        <v>233</v>
      </c>
      <c r="C96" s="2" t="s">
        <v>613</v>
      </c>
      <c r="D9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45889.611851851849</v>
      </c>
      <c r="E96" s="2" t="s">
        <v>87</v>
      </c>
      <c r="F96" s="2" t="s">
        <v>94</v>
      </c>
      <c r="G96" s="2" t="s">
        <v>614</v>
      </c>
      <c r="H96"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45901.689884259256</v>
      </c>
      <c r="I96" s="2" t="s">
        <v>23</v>
      </c>
      <c r="J96" s="2" t="s">
        <v>23</v>
      </c>
      <c r="K96" s="2" t="s">
        <v>38</v>
      </c>
      <c r="L96" s="2" t="s">
        <v>615</v>
      </c>
      <c r="M96" s="2" t="s">
        <v>616</v>
      </c>
      <c r="N96" s="2" t="s">
        <v>100</v>
      </c>
      <c r="O96" s="2" t="s">
        <v>41</v>
      </c>
      <c r="P96" s="2" t="s">
        <v>68</v>
      </c>
      <c r="Q96" s="3">
        <v>2</v>
      </c>
      <c r="R96" s="2" t="s">
        <v>30</v>
      </c>
      <c r="S96" s="2" t="s">
        <v>31</v>
      </c>
      <c r="T96" s="2" t="str">
        <f>IF(OR(NPS_Data[[#This Row],[CreatedDateTime]]="",NPS_Data[[#This Row],[Assigned To]]="",NPS_Data[[#This Row],[Issue 2 - NPS]]="",NPS_Data[[#This Row],[Program Name]]=""),"Missing","OK")</f>
        <v>OK</v>
      </c>
      <c r="U96" s="2" t="str">
        <f>IF(
  AND(NPS_Data[[#This Row],[Status]]="Complete", OR(ISNA(NPS_Data[[#This Row],[ResolvedDateTime]]), ISBLANK(NPS_Data[[#This Row],[ResolvedDateTime]]))),
  "CompleteNoResolved",
  IF(
    AND(NPS_Data[[#This Row],[Status]]="Pending", NPS_Data[[#This Row],[Sub Status]]="Solved"),
    "PendingButSolved",
    "OK"
  )
)</f>
        <v>OK</v>
      </c>
      <c r="V9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96" s="2" t="str">
        <f>IFERROR(TRIM(CLEAN(NPS_Data[[#This Row],[Ticket All Remarks]])),"")</f>
        <v>Sales promised 100% job guarantee within 6 months but placement team says no such commitment exists. Feel misled about course outcomes. || Resolution: Clarified placement support terms and provided additional career assistance</v>
      </c>
      <c r="X96" s="2" cm="1">
        <f t="array" aca="1" ref="X96" ca="1">IF(NPS_Data[[#This Row],[CleanRemark]]="","",
   SUMPRODUCT(CODE(MID(NPS_Data[[#This Row],[CleanRemark]],ROW(INDIRECT("1:"&amp;LEN(NPS_Data[[#This Row],[CleanRemark]]))),1))))</f>
        <v>21446</v>
      </c>
      <c r="Y96" s="2" t="str">
        <f>IF(COUNTIF(NPS_Data[Ticket No],NPS_Data[[#This Row],[Ticket No]])&gt;1,"Duplicate","OK")</f>
        <v>OK</v>
      </c>
      <c r="Z96" s="2" t="str">
        <f ca="1">IF(NPS_Data[[#This Row],[RemarkHash]]="","OK",
   IF(COUNTIF(NPS_Data[RemarkHash],NPS_Data[[#This Row],[RemarkHash]])&gt;1,"RepeatedRemark","OK"))</f>
        <v>RepeatedRemark</v>
      </c>
      <c r="AA96" s="17">
        <f>IF( AND( ISNUMBER(NPS_Data[[#This Row],[CreatedDateTime]]), ISNUMBER(NPS_Data[[#This Row],[ResolvedDateTime]]) ), (NPS_Data[[#This Row],[ResolvedDateTime]] - NPS_Data[[#This Row],[CreatedDateTime]]) * 24, 0 )</f>
        <v>289.87277777778218</v>
      </c>
      <c r="AB96" s="65" t="str">
        <f>IF(NOT(ISNA(NPS_Data[[#This Row],[CreatedDateTime]])),
   YEAR(NPS_Data[[#This Row],[CreatedDateTime]]) &amp; "-" &amp; TEXT(WEEKNUM(NPS_Data[[#This Row],[CreatedDateTime]],2),"00"),
   "")</f>
        <v>2025-34</v>
      </c>
      <c r="AC96" s="14" t="str">
        <f>IF(NOT(ISNA(NPS_Data[[#This Row],[CreatedDateTime]])), TEXT(NPS_Data[[#This Row],[CreatedDateTime]],"YYYY-MM"), "")</f>
        <v>2025-08</v>
      </c>
      <c r="AD96" s="14" t="str">
        <f>IF(NOT(ISNUMBER(NPS_Data[[#This Row],[ResolutionHours]])),"Open", IF(NPS_Data[[#This Row],[ResolutionHours]]&gt;72,"Breach","OK"))</f>
        <v>Breach</v>
      </c>
      <c r="AE96" s="14">
        <f>IF(AND(ISNUMBER(NPS_Data[[#This Row],[CreatedDateTime]]), ISNUMBER(NPS_Data[[#This Row],[ResolvedDateTime]])), 1, 0)</f>
        <v>1</v>
      </c>
      <c r="AF96" s="48" t="str">
        <f>IF(NOT(ISNA(NPS_Data[[#This Row],[CreatedDateTime]])), TEXT(NPS_Data[[#This Row],[CreatedDateTime]],"dddd"), "")</f>
        <v>Wednesday</v>
      </c>
    </row>
    <row r="97" spans="1:32" x14ac:dyDescent="0.25">
      <c r="A97" s="2" t="s">
        <v>617</v>
      </c>
      <c r="B97" s="2" t="s">
        <v>72</v>
      </c>
      <c r="C97" s="2" t="s">
        <v>618</v>
      </c>
      <c r="D9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45910.714803240742</v>
      </c>
      <c r="E97" s="2" t="s">
        <v>219</v>
      </c>
      <c r="F97" s="2" t="s">
        <v>52</v>
      </c>
      <c r="G97" s="2" t="s">
        <v>619</v>
      </c>
      <c r="H97"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45913.647893518515</v>
      </c>
      <c r="I97" s="2" t="s">
        <v>23</v>
      </c>
      <c r="J97" s="2" t="s">
        <v>23</v>
      </c>
      <c r="K97" s="2" t="s">
        <v>38</v>
      </c>
      <c r="L97" s="2" t="s">
        <v>620</v>
      </c>
      <c r="M97" s="2" t="s">
        <v>621</v>
      </c>
      <c r="N97" s="2" t="s">
        <v>622</v>
      </c>
      <c r="O97" s="2" t="s">
        <v>28</v>
      </c>
      <c r="P97" s="2" t="s">
        <v>585</v>
      </c>
      <c r="Q97" s="3">
        <v>6</v>
      </c>
      <c r="R97" s="2" t="s">
        <v>30</v>
      </c>
      <c r="S97" s="2" t="s">
        <v>50</v>
      </c>
      <c r="T97" s="2" t="str">
        <f>IF(OR(NPS_Data[[#This Row],[CreatedDateTime]]="",NPS_Data[[#This Row],[Assigned To]]="",NPS_Data[[#This Row],[Issue 2 - NPS]]="",NPS_Data[[#This Row],[Program Name]]=""),"Missing","OK")</f>
        <v>OK</v>
      </c>
      <c r="U97" s="2" t="str">
        <f>IF(
  AND(NPS_Data[[#This Row],[Status]]="Complete", OR(ISNA(NPS_Data[[#This Row],[ResolvedDateTime]]), ISBLANK(NPS_Data[[#This Row],[ResolvedDateTime]]))),
  "CompleteNoResolved",
  IF(
    AND(NPS_Data[[#This Row],[Status]]="Pending", NPS_Data[[#This Row],[Sub Status]]="Solved"),
    "PendingButSolved",
    "OK"
  )
)</f>
        <v>OK</v>
      </c>
      <c r="V9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97" s="2" t="str">
        <f>IFERROR(TRIM(CLEAN(NPS_Data[[#This Row],[Ticket All Remarks]])),"")</f>
        <v>Audio-video sync issues during recorded playback. Instructor Priya Patel's voice doesn't match lip movement by 2-3 seconds. Distracting during learning. || Resolution: Fixed encoding pipeline and re-processed affected recordings</v>
      </c>
      <c r="X97" s="2" cm="1">
        <f t="array" aca="1" ref="X97" ca="1">IF(NPS_Data[[#This Row],[CleanRemark]]="","",
   SUMPRODUCT(CODE(MID(NPS_Data[[#This Row],[CleanRemark]],ROW(INDIRECT("1:"&amp;LEN(NPS_Data[[#This Row],[CleanRemark]]))),1))))</f>
        <v>21519</v>
      </c>
      <c r="Y97" s="2" t="str">
        <f>IF(COUNTIF(NPS_Data[Ticket No],NPS_Data[[#This Row],[Ticket No]])&gt;1,"Duplicate","OK")</f>
        <v>OK</v>
      </c>
      <c r="Z97" s="2" t="str">
        <f ca="1">IF(NPS_Data[[#This Row],[RemarkHash]]="","OK",
   IF(COUNTIF(NPS_Data[RemarkHash],NPS_Data[[#This Row],[RemarkHash]])&gt;1,"RepeatedRemark","OK"))</f>
        <v>OK</v>
      </c>
      <c r="AA97" s="17">
        <f>IF( AND( ISNUMBER(NPS_Data[[#This Row],[CreatedDateTime]]), ISNUMBER(NPS_Data[[#This Row],[ResolvedDateTime]]) ), (NPS_Data[[#This Row],[ResolvedDateTime]] - NPS_Data[[#This Row],[CreatedDateTime]]) * 24, 0 )</f>
        <v>70.394166666548699</v>
      </c>
      <c r="AB97" s="65" t="str">
        <f>IF(NOT(ISNA(NPS_Data[[#This Row],[CreatedDateTime]])),
   YEAR(NPS_Data[[#This Row],[CreatedDateTime]]) &amp; "-" &amp; TEXT(WEEKNUM(NPS_Data[[#This Row],[CreatedDateTime]],2),"00"),
   "")</f>
        <v>2025-37</v>
      </c>
      <c r="AC97" s="14" t="str">
        <f>IF(NOT(ISNA(NPS_Data[[#This Row],[CreatedDateTime]])), TEXT(NPS_Data[[#This Row],[CreatedDateTime]],"YYYY-MM"), "")</f>
        <v>2025-09</v>
      </c>
      <c r="AD97" s="14" t="str">
        <f>IF(NOT(ISNUMBER(NPS_Data[[#This Row],[ResolutionHours]])),"Open", IF(NPS_Data[[#This Row],[ResolutionHours]]&gt;72,"Breach","OK"))</f>
        <v>OK</v>
      </c>
      <c r="AE97" s="14">
        <f>IF(AND(ISNUMBER(NPS_Data[[#This Row],[CreatedDateTime]]), ISNUMBER(NPS_Data[[#This Row],[ResolvedDateTime]])), 1, 0)</f>
        <v>1</v>
      </c>
      <c r="AF97" s="48" t="str">
        <f>IF(NOT(ISNA(NPS_Data[[#This Row],[CreatedDateTime]])), TEXT(NPS_Data[[#This Row],[CreatedDateTime]],"dddd"), "")</f>
        <v>Wednesday</v>
      </c>
    </row>
    <row r="98" spans="1:32" x14ac:dyDescent="0.25">
      <c r="A98" s="2" t="s">
        <v>623</v>
      </c>
      <c r="B98" s="2" t="s">
        <v>524</v>
      </c>
      <c r="C98" s="2" t="s">
        <v>624</v>
      </c>
      <c r="D9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45875.439363425925</v>
      </c>
      <c r="E98" s="2" t="s">
        <v>219</v>
      </c>
      <c r="F98" s="2" t="s">
        <v>135</v>
      </c>
      <c r="G98" s="2" t="s">
        <v>625</v>
      </c>
      <c r="H98"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45886.720231481479</v>
      </c>
      <c r="I98" s="2" t="s">
        <v>23</v>
      </c>
      <c r="J98" s="2" t="s">
        <v>23</v>
      </c>
      <c r="K98" s="2" t="s">
        <v>88</v>
      </c>
      <c r="L98" s="2" t="s">
        <v>626</v>
      </c>
      <c r="M98" s="2" t="s">
        <v>627</v>
      </c>
      <c r="N98" s="2" t="s">
        <v>628</v>
      </c>
      <c r="O98" s="2" t="s">
        <v>48</v>
      </c>
      <c r="P98" s="2" t="s">
        <v>92</v>
      </c>
      <c r="Q98" s="3">
        <v>1</v>
      </c>
      <c r="R98" s="2" t="s">
        <v>30</v>
      </c>
      <c r="S98" s="2" t="s">
        <v>31</v>
      </c>
      <c r="T98" s="2" t="str">
        <f>IF(OR(NPS_Data[[#This Row],[CreatedDateTime]]="",NPS_Data[[#This Row],[Assigned To]]="",NPS_Data[[#This Row],[Issue 2 - NPS]]="",NPS_Data[[#This Row],[Program Name]]=""),"Missing","OK")</f>
        <v>OK</v>
      </c>
      <c r="U98" s="2" t="str">
        <f>IF(
  AND(NPS_Data[[#This Row],[Status]]="Complete", OR(ISNA(NPS_Data[[#This Row],[ResolvedDateTime]]), ISBLANK(NPS_Data[[#This Row],[ResolvedDateTime]]))),
  "CompleteNoResolved",
  IF(
    AND(NPS_Data[[#This Row],[Status]]="Pending", NPS_Data[[#This Row],[Sub Status]]="Solved"),
    "PendingButSolved",
    "OK"
  )
)</f>
        <v>OK</v>
      </c>
      <c r="V9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98" s="2" t="str">
        <f>IFERROR(TRIM(CLEAN(NPS_Data[[#This Row],[Ticket All Remarks]])),"")</f>
        <v>Planning to relocate from Bangalore to Pune for family reasons. Unclear about job market, salary differences, and Zomato options in Pune tech scene. || Resolution: Connected with local Pune-based mentors and provided market insights</v>
      </c>
      <c r="X98" s="2" cm="1">
        <f t="array" aca="1" ref="X98" ca="1">IF(NPS_Data[[#This Row],[CleanRemark]]="","",
   SUMPRODUCT(CODE(MID(NPS_Data[[#This Row],[CleanRemark]],ROW(INDIRECT("1:"&amp;LEN(NPS_Data[[#This Row],[CleanRemark]]))),1))))</f>
        <v>21836</v>
      </c>
      <c r="Y98" s="2" t="str">
        <f>IF(COUNTIF(NPS_Data[Ticket No],NPS_Data[[#This Row],[Ticket No]])&gt;1,"Duplicate","OK")</f>
        <v>OK</v>
      </c>
      <c r="Z98" s="2" t="str">
        <f ca="1">IF(NPS_Data[[#This Row],[RemarkHash]]="","OK",
   IF(COUNTIF(NPS_Data[RemarkHash],NPS_Data[[#This Row],[RemarkHash]])&gt;1,"RepeatedRemark","OK"))</f>
        <v>OK</v>
      </c>
      <c r="AA98" s="17">
        <f>IF( AND( ISNUMBER(NPS_Data[[#This Row],[CreatedDateTime]]), ISNUMBER(NPS_Data[[#This Row],[ResolvedDateTime]]) ), (NPS_Data[[#This Row],[ResolvedDateTime]] - NPS_Data[[#This Row],[CreatedDateTime]]) * 24, 0 )</f>
        <v>270.74083333328599</v>
      </c>
      <c r="AB98" s="65" t="str">
        <f>IF(NOT(ISNA(NPS_Data[[#This Row],[CreatedDateTime]])),
   YEAR(NPS_Data[[#This Row],[CreatedDateTime]]) &amp; "-" &amp; TEXT(WEEKNUM(NPS_Data[[#This Row],[CreatedDateTime]],2),"00"),
   "")</f>
        <v>2025-32</v>
      </c>
      <c r="AC98" s="14" t="str">
        <f>IF(NOT(ISNA(NPS_Data[[#This Row],[CreatedDateTime]])), TEXT(NPS_Data[[#This Row],[CreatedDateTime]],"YYYY-MM"), "")</f>
        <v>2025-08</v>
      </c>
      <c r="AD98" s="14" t="str">
        <f>IF(NOT(ISNUMBER(NPS_Data[[#This Row],[ResolutionHours]])),"Open", IF(NPS_Data[[#This Row],[ResolutionHours]]&gt;72,"Breach","OK"))</f>
        <v>Breach</v>
      </c>
      <c r="AE98" s="14">
        <f>IF(AND(ISNUMBER(NPS_Data[[#This Row],[CreatedDateTime]]), ISNUMBER(NPS_Data[[#This Row],[ResolvedDateTime]])), 1, 0)</f>
        <v>1</v>
      </c>
      <c r="AF98" s="48" t="str">
        <f>IF(NOT(ISNA(NPS_Data[[#This Row],[CreatedDateTime]])), TEXT(NPS_Data[[#This Row],[CreatedDateTime]],"dddd"), "")</f>
        <v>Wednesday</v>
      </c>
    </row>
    <row r="99" spans="1:32" x14ac:dyDescent="0.25">
      <c r="A99" s="2" t="s">
        <v>629</v>
      </c>
      <c r="B99" s="2" t="s">
        <v>54</v>
      </c>
      <c r="C99" s="2" t="s">
        <v>630</v>
      </c>
      <c r="D9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45916.418530092589</v>
      </c>
      <c r="E99" s="2" t="s">
        <v>113</v>
      </c>
      <c r="H99"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99" s="2" t="s">
        <v>23</v>
      </c>
      <c r="J99" s="2" t="s">
        <v>23</v>
      </c>
      <c r="K99" s="2" t="s">
        <v>88</v>
      </c>
      <c r="L99" s="2" t="s">
        <v>631</v>
      </c>
      <c r="M99" s="2" t="s">
        <v>632</v>
      </c>
      <c r="N99" s="2" t="s">
        <v>633</v>
      </c>
      <c r="O99" s="2" t="s">
        <v>28</v>
      </c>
      <c r="P99" s="2" t="s">
        <v>242</v>
      </c>
      <c r="Q99" s="3">
        <v>9</v>
      </c>
      <c r="R99" s="2" t="s">
        <v>49</v>
      </c>
      <c r="S99" s="2" t="s">
        <v>116</v>
      </c>
      <c r="T99" s="2" t="str">
        <f>IF(OR(NPS_Data[[#This Row],[CreatedDateTime]]="",NPS_Data[[#This Row],[Assigned To]]="",NPS_Data[[#This Row],[Issue 2 - NPS]]="",NPS_Data[[#This Row],[Program Name]]=""),"Missing","OK")</f>
        <v>OK</v>
      </c>
      <c r="U99" s="2" t="str">
        <f>IF(
  AND(NPS_Data[[#This Row],[Status]]="Complete", OR(ISNA(NPS_Data[[#This Row],[ResolvedDateTime]]), ISBLANK(NPS_Data[[#This Row],[ResolvedDateTime]]))),
  "CompleteNoResolved",
  IF(
    AND(NPS_Data[[#This Row],[Status]]="Pending", NPS_Data[[#This Row],[Sub Status]]="Solved"),
    "PendingButSolved",
    "OK"
  )
)</f>
        <v>OK</v>
      </c>
      <c r="V9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99" s="2" t="str">
        <f>IFERROR(TRIM(CLEAN(NPS_Data[[#This Row],[Ticket All Remarks]])),"")</f>
        <v>Placement team requires 2+ years experience but won't help freshers. Catch-22 situation where experience needed for placement but placement needed for experience. || Resolution: Launched fresh graduate placement track with entry-level focused companies</v>
      </c>
      <c r="X99" s="2" cm="1">
        <f t="array" aca="1" ref="X99" ca="1">IF(NPS_Data[[#This Row],[CleanRemark]]="","",
   SUMPRODUCT(CODE(MID(NPS_Data[[#This Row],[CleanRemark]],ROW(INDIRECT("1:"&amp;LEN(NPS_Data[[#This Row],[CleanRemark]]))),1))))</f>
        <v>23910</v>
      </c>
      <c r="Y99" s="2" t="str">
        <f>IF(COUNTIF(NPS_Data[Ticket No],NPS_Data[[#This Row],[Ticket No]])&gt;1,"Duplicate","OK")</f>
        <v>OK</v>
      </c>
      <c r="Z99" s="2" t="str">
        <f ca="1">IF(NPS_Data[[#This Row],[RemarkHash]]="","OK",
   IF(COUNTIF(NPS_Data[RemarkHash],NPS_Data[[#This Row],[RemarkHash]])&gt;1,"RepeatedRemark","OK"))</f>
        <v>RepeatedRemark</v>
      </c>
      <c r="AA99" s="17">
        <f>IF( AND( ISNUMBER(NPS_Data[[#This Row],[CreatedDateTime]]), ISNUMBER(NPS_Data[[#This Row],[ResolvedDateTime]]) ), (NPS_Data[[#This Row],[ResolvedDateTime]] - NPS_Data[[#This Row],[CreatedDateTime]]) * 24, 0 )</f>
        <v>0</v>
      </c>
      <c r="AB99" s="65" t="str">
        <f>IF(NOT(ISNA(NPS_Data[[#This Row],[CreatedDateTime]])),
   YEAR(NPS_Data[[#This Row],[CreatedDateTime]]) &amp; "-" &amp; TEXT(WEEKNUM(NPS_Data[[#This Row],[CreatedDateTime]],2),"00"),
   "")</f>
        <v>2025-38</v>
      </c>
      <c r="AC99" s="14" t="str">
        <f>IF(NOT(ISNA(NPS_Data[[#This Row],[CreatedDateTime]])), TEXT(NPS_Data[[#This Row],[CreatedDateTime]],"YYYY-MM"), "")</f>
        <v>2025-09</v>
      </c>
      <c r="AD99" s="14" t="str">
        <f>IF(NOT(ISNUMBER(NPS_Data[[#This Row],[ResolutionHours]])),"Open", IF(NPS_Data[[#This Row],[ResolutionHours]]&gt;72,"Breach","OK"))</f>
        <v>OK</v>
      </c>
      <c r="AE99" s="14">
        <f>IF(AND(ISNUMBER(NPS_Data[[#This Row],[CreatedDateTime]]), ISNUMBER(NPS_Data[[#This Row],[ResolvedDateTime]])), 1, 0)</f>
        <v>0</v>
      </c>
      <c r="AF99" s="48" t="str">
        <f>IF(NOT(ISNA(NPS_Data[[#This Row],[CreatedDateTime]])), TEXT(NPS_Data[[#This Row],[CreatedDateTime]],"dddd"), "")</f>
        <v>Tuesday</v>
      </c>
    </row>
    <row r="100" spans="1:32" x14ac:dyDescent="0.25">
      <c r="A100" s="2" t="s">
        <v>634</v>
      </c>
      <c r="B100" s="2" t="s">
        <v>72</v>
      </c>
      <c r="C100" s="2" t="s">
        <v>635</v>
      </c>
      <c r="D10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45910.536006944443</v>
      </c>
      <c r="E100" s="2" t="s">
        <v>104</v>
      </c>
      <c r="F100" s="2" t="s">
        <v>63</v>
      </c>
      <c r="G100" s="2" t="s">
        <v>636</v>
      </c>
      <c r="H100"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45921.721307870372</v>
      </c>
      <c r="I100" s="2" t="s">
        <v>23</v>
      </c>
      <c r="J100" s="2" t="s">
        <v>23</v>
      </c>
      <c r="K100" s="2" t="s">
        <v>38</v>
      </c>
      <c r="L100" s="2" t="s">
        <v>637</v>
      </c>
      <c r="M100" s="2" t="s">
        <v>638</v>
      </c>
      <c r="N100" s="2" t="s">
        <v>639</v>
      </c>
      <c r="O100" s="2" t="s">
        <v>48</v>
      </c>
      <c r="P100" s="2" t="s">
        <v>585</v>
      </c>
      <c r="Q100" s="3">
        <v>6</v>
      </c>
      <c r="R100" s="2" t="s">
        <v>30</v>
      </c>
      <c r="S100" s="2" t="s">
        <v>31</v>
      </c>
      <c r="T100" s="2" t="str">
        <f>IF(OR(NPS_Data[[#This Row],[CreatedDateTime]]="",NPS_Data[[#This Row],[Assigned To]]="",NPS_Data[[#This Row],[Issue 2 - NPS]]="",NPS_Data[[#This Row],[Program Name]]=""),"Missing","OK")</f>
        <v>OK</v>
      </c>
      <c r="U100" s="2" t="str">
        <f>IF(
  AND(NPS_Data[[#This Row],[Status]]="Complete", OR(ISNA(NPS_Data[[#This Row],[ResolvedDateTime]]), ISBLANK(NPS_Data[[#This Row],[ResolvedDateTime]]))),
  "CompleteNoResolved",
  IF(
    AND(NPS_Data[[#This Row],[Status]]="Pending", NPS_Data[[#This Row],[Sub Status]]="Solved"),
    "PendingButSolved",
    "OK"
  )
)</f>
        <v>OK</v>
      </c>
      <c r="V10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00" s="2" t="str">
        <f>IFERROR(TRIM(CLEAN(NPS_Data[[#This Row],[Ticket All Remarks]])),"")</f>
        <v>Screen sharing resolution too low during coding sessions. Can't read code examples on mobile device. Zoom compression makes text blurry. || Resolution: Upgraded streaming quality to 1080p and optimized for mobile viewing</v>
      </c>
      <c r="X100" s="2" cm="1">
        <f t="array" aca="1" ref="X100" ca="1">IF(NPS_Data[[#This Row],[CleanRemark]]="","",
   SUMPRODUCT(CODE(MID(NPS_Data[[#This Row],[CleanRemark]],ROW(INDIRECT("1:"&amp;LEN(NPS_Data[[#This Row],[CleanRemark]]))),1))))</f>
        <v>20792</v>
      </c>
      <c r="Y100" s="2" t="str">
        <f>IF(COUNTIF(NPS_Data[Ticket No],NPS_Data[[#This Row],[Ticket No]])&gt;1,"Duplicate","OK")</f>
        <v>OK</v>
      </c>
      <c r="Z100" s="2" t="str">
        <f ca="1">IF(NPS_Data[[#This Row],[RemarkHash]]="","OK",
   IF(COUNTIF(NPS_Data[RemarkHash],NPS_Data[[#This Row],[RemarkHash]])&gt;1,"RepeatedRemark","OK"))</f>
        <v>RepeatedRemark</v>
      </c>
      <c r="AA100" s="17">
        <f>IF( AND( ISNUMBER(NPS_Data[[#This Row],[CreatedDateTime]]), ISNUMBER(NPS_Data[[#This Row],[ResolvedDateTime]]) ), (NPS_Data[[#This Row],[ResolvedDateTime]] - NPS_Data[[#This Row],[CreatedDateTime]]) * 24, 0 )</f>
        <v>268.44722222228302</v>
      </c>
      <c r="AB100" s="65" t="str">
        <f>IF(NOT(ISNA(NPS_Data[[#This Row],[CreatedDateTime]])),
   YEAR(NPS_Data[[#This Row],[CreatedDateTime]]) &amp; "-" &amp; TEXT(WEEKNUM(NPS_Data[[#This Row],[CreatedDateTime]],2),"00"),
   "")</f>
        <v>2025-37</v>
      </c>
      <c r="AC100" s="14" t="str">
        <f>IF(NOT(ISNA(NPS_Data[[#This Row],[CreatedDateTime]])), TEXT(NPS_Data[[#This Row],[CreatedDateTime]],"YYYY-MM"), "")</f>
        <v>2025-09</v>
      </c>
      <c r="AD100" s="14" t="str">
        <f>IF(NOT(ISNUMBER(NPS_Data[[#This Row],[ResolutionHours]])),"Open", IF(NPS_Data[[#This Row],[ResolutionHours]]&gt;72,"Breach","OK"))</f>
        <v>Breach</v>
      </c>
      <c r="AE100" s="14">
        <f>IF(AND(ISNUMBER(NPS_Data[[#This Row],[CreatedDateTime]]), ISNUMBER(NPS_Data[[#This Row],[ResolvedDateTime]])), 1, 0)</f>
        <v>1</v>
      </c>
      <c r="AF100" s="48" t="str">
        <f>IF(NOT(ISNA(NPS_Data[[#This Row],[CreatedDateTime]])), TEXT(NPS_Data[[#This Row],[CreatedDateTime]],"dddd"), "")</f>
        <v>Wednesday</v>
      </c>
    </row>
    <row r="101" spans="1:32" x14ac:dyDescent="0.25">
      <c r="A101" s="2" t="s">
        <v>640</v>
      </c>
      <c r="B101" s="2" t="s">
        <v>143</v>
      </c>
      <c r="C101" s="2" t="s">
        <v>641</v>
      </c>
      <c r="D10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45896.871782407405</v>
      </c>
      <c r="E101" s="2" t="s">
        <v>104</v>
      </c>
      <c r="F101" s="2" t="s">
        <v>191</v>
      </c>
      <c r="G101" s="2" t="s">
        <v>642</v>
      </c>
      <c r="H101"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45900.609826388885</v>
      </c>
      <c r="I101" s="2" t="s">
        <v>23</v>
      </c>
      <c r="J101" s="2" t="s">
        <v>23</v>
      </c>
      <c r="K101" s="2" t="s">
        <v>24</v>
      </c>
      <c r="L101" s="2" t="s">
        <v>643</v>
      </c>
      <c r="M101" s="2" t="s">
        <v>644</v>
      </c>
      <c r="N101" s="2" t="s">
        <v>362</v>
      </c>
      <c r="O101" s="2" t="s">
        <v>48</v>
      </c>
      <c r="P101" s="2" t="s">
        <v>125</v>
      </c>
      <c r="Q101" s="3">
        <v>1</v>
      </c>
      <c r="R101" s="2" t="s">
        <v>30</v>
      </c>
      <c r="S101" s="2" t="s">
        <v>31</v>
      </c>
      <c r="T101" s="2" t="str">
        <f>IF(OR(NPS_Data[[#This Row],[CreatedDateTime]]="",NPS_Data[[#This Row],[Assigned To]]="",NPS_Data[[#This Row],[Issue 2 - NPS]]="",NPS_Data[[#This Row],[Program Name]]=""),"Missing","OK")</f>
        <v>OK</v>
      </c>
      <c r="U101" s="2" t="str">
        <f>IF(
  AND(NPS_Data[[#This Row],[Status]]="Complete", OR(ISNA(NPS_Data[[#This Row],[ResolvedDateTime]]), ISBLANK(NPS_Data[[#This Row],[ResolvedDateTime]]))),
  "CompleteNoResolved",
  IF(
    AND(NPS_Data[[#This Row],[Status]]="Pending", NPS_Data[[#This Row],[Sub Status]]="Solved"),
    "PendingButSolved",
    "OK"
  )
)</f>
        <v>OK</v>
      </c>
      <c r="V10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01" s="2" t="str">
        <f>IFERROR(TRIM(CLEAN(NPS_Data[[#This Row],[Ticket All Remarks]])),"")</f>
        <v>Teaching Assistant lacks depth in advanced topics. Can help with basic syntax but struggles with algorithm optimization and complexity analysis questions. || Resolution: Assigned senior TA with computer science background for advanced topic support</v>
      </c>
      <c r="X101" s="2" cm="1">
        <f t="array" aca="1" ref="X101" ca="1">IF(NPS_Data[[#This Row],[CleanRemark]]="","",
   SUMPRODUCT(CODE(MID(NPS_Data[[#This Row],[CleanRemark]],ROW(INDIRECT("1:"&amp;LEN(NPS_Data[[#This Row],[CleanRemark]]))),1))))</f>
        <v>23927</v>
      </c>
      <c r="Y101" s="2" t="str">
        <f>IF(COUNTIF(NPS_Data[Ticket No],NPS_Data[[#This Row],[Ticket No]])&gt;1,"Duplicate","OK")</f>
        <v>OK</v>
      </c>
      <c r="Z101" s="2" t="str">
        <f ca="1">IF(NPS_Data[[#This Row],[RemarkHash]]="","OK",
   IF(COUNTIF(NPS_Data[RemarkHash],NPS_Data[[#This Row],[RemarkHash]])&gt;1,"RepeatedRemark","OK"))</f>
        <v>RepeatedRemark</v>
      </c>
      <c r="AA101" s="17">
        <f>IF( AND( ISNUMBER(NPS_Data[[#This Row],[CreatedDateTime]]), ISNUMBER(NPS_Data[[#This Row],[ResolvedDateTime]]) ), (NPS_Data[[#This Row],[ResolvedDateTime]] - NPS_Data[[#This Row],[CreatedDateTime]]) * 24, 0 )</f>
        <v>89.713055555534083</v>
      </c>
      <c r="AB101" s="65" t="str">
        <f>IF(NOT(ISNA(NPS_Data[[#This Row],[CreatedDateTime]])),
   YEAR(NPS_Data[[#This Row],[CreatedDateTime]]) &amp; "-" &amp; TEXT(WEEKNUM(NPS_Data[[#This Row],[CreatedDateTime]],2),"00"),
   "")</f>
        <v>2025-35</v>
      </c>
      <c r="AC101" s="14" t="str">
        <f>IF(NOT(ISNA(NPS_Data[[#This Row],[CreatedDateTime]])), TEXT(NPS_Data[[#This Row],[CreatedDateTime]],"YYYY-MM"), "")</f>
        <v>2025-08</v>
      </c>
      <c r="AD101" s="14" t="str">
        <f>IF(NOT(ISNUMBER(NPS_Data[[#This Row],[ResolutionHours]])),"Open", IF(NPS_Data[[#This Row],[ResolutionHours]]&gt;72,"Breach","OK"))</f>
        <v>Breach</v>
      </c>
      <c r="AE101" s="14">
        <f>IF(AND(ISNUMBER(NPS_Data[[#This Row],[CreatedDateTime]]), ISNUMBER(NPS_Data[[#This Row],[ResolvedDateTime]])), 1, 0)</f>
        <v>1</v>
      </c>
      <c r="AF101" s="48" t="str">
        <f>IF(NOT(ISNA(NPS_Data[[#This Row],[CreatedDateTime]])), TEXT(NPS_Data[[#This Row],[CreatedDateTime]],"dddd"), "")</f>
        <v>Wednesday</v>
      </c>
    </row>
    <row r="102" spans="1:32" x14ac:dyDescent="0.25">
      <c r="A102" s="2" t="s">
        <v>645</v>
      </c>
      <c r="B102" s="2" t="s">
        <v>299</v>
      </c>
      <c r="C102" s="2" t="s">
        <v>646</v>
      </c>
      <c r="D10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45890.558969907404</v>
      </c>
      <c r="E102" s="2" t="s">
        <v>113</v>
      </c>
      <c r="F102" s="2" t="s">
        <v>18</v>
      </c>
      <c r="G102" s="2" t="s">
        <v>647</v>
      </c>
      <c r="H102"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45892.561284722222</v>
      </c>
      <c r="I102" s="2" t="s">
        <v>23</v>
      </c>
      <c r="J102" s="2" t="s">
        <v>23</v>
      </c>
      <c r="K102" s="2" t="s">
        <v>38</v>
      </c>
      <c r="L102" s="2" t="s">
        <v>648</v>
      </c>
      <c r="M102" s="2" t="s">
        <v>649</v>
      </c>
      <c r="N102" s="2" t="s">
        <v>67</v>
      </c>
      <c r="O102" s="2" t="s">
        <v>177</v>
      </c>
      <c r="P102" s="2" t="s">
        <v>68</v>
      </c>
      <c r="Q102" s="3">
        <v>5</v>
      </c>
      <c r="R102" s="2" t="s">
        <v>30</v>
      </c>
      <c r="S102" s="2" t="s">
        <v>31</v>
      </c>
      <c r="T102" s="2" t="str">
        <f>IF(OR(NPS_Data[[#This Row],[CreatedDateTime]]="",NPS_Data[[#This Row],[Assigned To]]="",NPS_Data[[#This Row],[Issue 2 - NPS]]="",NPS_Data[[#This Row],[Program Name]]=""),"Missing","OK")</f>
        <v>OK</v>
      </c>
      <c r="U102" s="2" t="str">
        <f>IF(
  AND(NPS_Data[[#This Row],[Status]]="Complete", OR(ISNA(NPS_Data[[#This Row],[ResolvedDateTime]]), ISBLANK(NPS_Data[[#This Row],[ResolvedDateTime]]))),
  "CompleteNoResolved",
  IF(
    AND(NPS_Data[[#This Row],[Status]]="Pending", NPS_Data[[#This Row],[Sub Status]]="Solved"),
    "PendingButSolved",
    "OK"
  )
)</f>
        <v>OK</v>
      </c>
      <c r="V10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02" s="2" t="str">
        <f>IFERROR(TRIM(CLEAN(NPS_Data[[#This Row],[Ticket All Remarks]])),"")</f>
        <v>Told course would take 6 months but curriculum actually requires 10+ months for completion. Time commitment significantly underestimated. || Resolution: Updated course duration estimates and provided realistic timeline planning</v>
      </c>
      <c r="X102" s="2" cm="1">
        <f t="array" aca="1" ref="X102" ca="1">IF(NPS_Data[[#This Row],[CleanRemark]]="","",
   SUMPRODUCT(CODE(MID(NPS_Data[[#This Row],[CleanRemark]],ROW(INDIRECT("1:"&amp;LEN(NPS_Data[[#This Row],[CleanRemark]]))),1))))</f>
        <v>21945</v>
      </c>
      <c r="Y102" s="2" t="str">
        <f>IF(COUNTIF(NPS_Data[Ticket No],NPS_Data[[#This Row],[Ticket No]])&gt;1,"Duplicate","OK")</f>
        <v>OK</v>
      </c>
      <c r="Z102" s="2" t="str">
        <f ca="1">IF(NPS_Data[[#This Row],[RemarkHash]]="","OK",
   IF(COUNTIF(NPS_Data[RemarkHash],NPS_Data[[#This Row],[RemarkHash]])&gt;1,"RepeatedRemark","OK"))</f>
        <v>RepeatedRemark</v>
      </c>
      <c r="AA102" s="17">
        <f>IF( AND( ISNUMBER(NPS_Data[[#This Row],[CreatedDateTime]]), ISNUMBER(NPS_Data[[#This Row],[ResolvedDateTime]]) ), (NPS_Data[[#This Row],[ResolvedDateTime]] - NPS_Data[[#This Row],[CreatedDateTime]]) * 24, 0 )</f>
        <v>48.055555555620231</v>
      </c>
      <c r="AB102" s="65" t="str">
        <f>IF(NOT(ISNA(NPS_Data[[#This Row],[CreatedDateTime]])),
   YEAR(NPS_Data[[#This Row],[CreatedDateTime]]) &amp; "-" &amp; TEXT(WEEKNUM(NPS_Data[[#This Row],[CreatedDateTime]],2),"00"),
   "")</f>
        <v>2025-34</v>
      </c>
      <c r="AC102" s="14" t="str">
        <f>IF(NOT(ISNA(NPS_Data[[#This Row],[CreatedDateTime]])), TEXT(NPS_Data[[#This Row],[CreatedDateTime]],"YYYY-MM"), "")</f>
        <v>2025-08</v>
      </c>
      <c r="AD102" s="14" t="str">
        <f>IF(NOT(ISNUMBER(NPS_Data[[#This Row],[ResolutionHours]])),"Open", IF(NPS_Data[[#This Row],[ResolutionHours]]&gt;72,"Breach","OK"))</f>
        <v>OK</v>
      </c>
      <c r="AE102" s="14">
        <f>IF(AND(ISNUMBER(NPS_Data[[#This Row],[CreatedDateTime]]), ISNUMBER(NPS_Data[[#This Row],[ResolvedDateTime]])), 1, 0)</f>
        <v>1</v>
      </c>
      <c r="AF102" s="48" t="str">
        <f>IF(NOT(ISNA(NPS_Data[[#This Row],[CreatedDateTime]])), TEXT(NPS_Data[[#This Row],[CreatedDateTime]],"dddd"), "")</f>
        <v>Thursday</v>
      </c>
    </row>
    <row r="103" spans="1:32" x14ac:dyDescent="0.25">
      <c r="A103" s="2" t="s">
        <v>650</v>
      </c>
      <c r="B103" s="2" t="s">
        <v>299</v>
      </c>
      <c r="C103" s="2" t="s">
        <v>651</v>
      </c>
      <c r="D10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45890.378761574073</v>
      </c>
      <c r="E103" s="2" t="s">
        <v>80</v>
      </c>
      <c r="F103" s="2" t="s">
        <v>513</v>
      </c>
      <c r="G103" s="2" t="s">
        <v>652</v>
      </c>
      <c r="H103"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45893.68922453704</v>
      </c>
      <c r="I103" s="2" t="s">
        <v>23</v>
      </c>
      <c r="J103" s="2" t="s">
        <v>23</v>
      </c>
      <c r="K103" s="2" t="s">
        <v>24</v>
      </c>
      <c r="L103" s="2" t="s">
        <v>653</v>
      </c>
      <c r="M103" s="2" t="s">
        <v>654</v>
      </c>
      <c r="N103" s="2" t="s">
        <v>655</v>
      </c>
      <c r="O103" s="2" t="s">
        <v>41</v>
      </c>
      <c r="P103" s="2" t="s">
        <v>216</v>
      </c>
      <c r="Q103" s="3">
        <v>2</v>
      </c>
      <c r="R103" s="2" t="s">
        <v>30</v>
      </c>
      <c r="S103" s="2" t="s">
        <v>31</v>
      </c>
      <c r="T103" s="2" t="str">
        <f>IF(OR(NPS_Data[[#This Row],[CreatedDateTime]]="",NPS_Data[[#This Row],[Assigned To]]="",NPS_Data[[#This Row],[Issue 2 - NPS]]="",NPS_Data[[#This Row],[Program Name]]=""),"Missing","OK")</f>
        <v>OK</v>
      </c>
      <c r="U103" s="2" t="str">
        <f>IF(
  AND(NPS_Data[[#This Row],[Status]]="Complete", OR(ISNA(NPS_Data[[#This Row],[ResolvedDateTime]]), ISBLANK(NPS_Data[[#This Row],[ResolvedDateTime]]))),
  "CompleteNoResolved",
  IF(
    AND(NPS_Data[[#This Row],[Status]]="Pending", NPS_Data[[#This Row],[Sub Status]]="Solved"),
    "PendingButSolved",
    "OK"
  )
)</f>
        <v>OK</v>
      </c>
      <c r="V10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03" s="2" t="str">
        <f>IFERROR(TRIM(CLEAN(NPS_Data[[#This Row],[Ticket All Remarks]])),"")</f>
        <v>Weekly mentor sessions rushed and superficial. Last call was 8 minutes discussing 6-month career roadmap. Need dedicated time for meaningful guidance. || Resolution: Increased minimum session duration to 30 minutes with structured agenda</v>
      </c>
      <c r="X103" s="2" cm="1">
        <f t="array" aca="1" ref="X103" ca="1">IF(NPS_Data[[#This Row],[CleanRemark]]="","",
   SUMPRODUCT(CODE(MID(NPS_Data[[#This Row],[CleanRemark]],ROW(INDIRECT("1:"&amp;LEN(NPS_Data[[#This Row],[CleanRemark]]))),1))))</f>
        <v>22452</v>
      </c>
      <c r="Y103" s="2" t="str">
        <f>IF(COUNTIF(NPS_Data[Ticket No],NPS_Data[[#This Row],[Ticket No]])&gt;1,"Duplicate","OK")</f>
        <v>OK</v>
      </c>
      <c r="Z103" s="2" t="str">
        <f ca="1">IF(NPS_Data[[#This Row],[RemarkHash]]="","OK",
   IF(COUNTIF(NPS_Data[RemarkHash],NPS_Data[[#This Row],[RemarkHash]])&gt;1,"RepeatedRemark","OK"))</f>
        <v>RepeatedRemark</v>
      </c>
      <c r="AA103" s="17">
        <f>IF( AND( ISNUMBER(NPS_Data[[#This Row],[CreatedDateTime]]), ISNUMBER(NPS_Data[[#This Row],[ResolvedDateTime]]) ), (NPS_Data[[#This Row],[ResolvedDateTime]] - NPS_Data[[#This Row],[CreatedDateTime]]) * 24, 0 )</f>
        <v>79.451111111207865</v>
      </c>
      <c r="AB103" s="65" t="str">
        <f>IF(NOT(ISNA(NPS_Data[[#This Row],[CreatedDateTime]])),
   YEAR(NPS_Data[[#This Row],[CreatedDateTime]]) &amp; "-" &amp; TEXT(WEEKNUM(NPS_Data[[#This Row],[CreatedDateTime]],2),"00"),
   "")</f>
        <v>2025-34</v>
      </c>
      <c r="AC103" s="14" t="str">
        <f>IF(NOT(ISNA(NPS_Data[[#This Row],[CreatedDateTime]])), TEXT(NPS_Data[[#This Row],[CreatedDateTime]],"YYYY-MM"), "")</f>
        <v>2025-08</v>
      </c>
      <c r="AD103" s="14" t="str">
        <f>IF(NOT(ISNUMBER(NPS_Data[[#This Row],[ResolutionHours]])),"Open", IF(NPS_Data[[#This Row],[ResolutionHours]]&gt;72,"Breach","OK"))</f>
        <v>Breach</v>
      </c>
      <c r="AE103" s="14">
        <f>IF(AND(ISNUMBER(NPS_Data[[#This Row],[CreatedDateTime]]), ISNUMBER(NPS_Data[[#This Row],[ResolvedDateTime]])), 1, 0)</f>
        <v>1</v>
      </c>
      <c r="AF103" s="48" t="str">
        <f>IF(NOT(ISNA(NPS_Data[[#This Row],[CreatedDateTime]])), TEXT(NPS_Data[[#This Row],[CreatedDateTime]],"dddd"), "")</f>
        <v>Thursday</v>
      </c>
    </row>
    <row r="104" spans="1:32" x14ac:dyDescent="0.25">
      <c r="A104" s="2" t="s">
        <v>656</v>
      </c>
      <c r="B104" s="2" t="s">
        <v>435</v>
      </c>
      <c r="C104" s="2" t="s">
        <v>657</v>
      </c>
      <c r="D10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45873.497407407405</v>
      </c>
      <c r="E104" s="2" t="s">
        <v>167</v>
      </c>
      <c r="H104"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04" s="2" t="s">
        <v>23</v>
      </c>
      <c r="J104" s="2" t="s">
        <v>23</v>
      </c>
      <c r="K104" s="2" t="s">
        <v>38</v>
      </c>
      <c r="L104" s="2" t="s">
        <v>658</v>
      </c>
      <c r="M104" s="2" t="s">
        <v>659</v>
      </c>
      <c r="N104" s="2" t="s">
        <v>660</v>
      </c>
      <c r="O104" s="2" t="s">
        <v>28</v>
      </c>
      <c r="P104" s="2" t="s">
        <v>216</v>
      </c>
      <c r="Q104" s="3">
        <v>8</v>
      </c>
      <c r="R104" s="2" t="s">
        <v>30</v>
      </c>
      <c r="S104" s="2" t="s">
        <v>31</v>
      </c>
      <c r="T104" s="2" t="str">
        <f>IF(OR(NPS_Data[[#This Row],[CreatedDateTime]]="",NPS_Data[[#This Row],[Assigned To]]="",NPS_Data[[#This Row],[Issue 2 - NPS]]="",NPS_Data[[#This Row],[Program Name]]=""),"Missing","OK")</f>
        <v>OK</v>
      </c>
      <c r="U104" s="2" t="str">
        <f>IF(
  AND(NPS_Data[[#This Row],[Status]]="Complete", OR(ISNA(NPS_Data[[#This Row],[ResolvedDateTime]]), ISBLANK(NPS_Data[[#This Row],[ResolvedDateTime]]))),
  "CompleteNoResolved",
  IF(
    AND(NPS_Data[[#This Row],[Status]]="Pending", NPS_Data[[#This Row],[Sub Status]]="Solved"),
    "PendingButSolved",
    "OK"
  )
)</f>
        <v>OK</v>
      </c>
      <c r="V10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04" s="2" t="str">
        <f>IFERROR(TRIM(CLEAN(NPS_Data[[#This Row],[Ticket All Remarks]])),"")</f>
        <v>Mentor doesn't understand non-tech background. As commerce graduate transitioning to data science, need someone who understands career pivot challenges. || Resolution: Assigned mentor with similar career transition background</v>
      </c>
      <c r="X104" s="2" cm="1">
        <f t="array" aca="1" ref="X104" ca="1">IF(NPS_Data[[#This Row],[CleanRemark]]="","",
   SUMPRODUCT(CODE(MID(NPS_Data[[#This Row],[CleanRemark]],ROW(INDIRECT("1:"&amp;LEN(NPS_Data[[#This Row],[CleanRemark]]))),1))))</f>
        <v>21673</v>
      </c>
      <c r="Y104" s="2" t="str">
        <f>IF(COUNTIF(NPS_Data[Ticket No],NPS_Data[[#This Row],[Ticket No]])&gt;1,"Duplicate","OK")</f>
        <v>OK</v>
      </c>
      <c r="Z104" s="2" t="str">
        <f ca="1">IF(NPS_Data[[#This Row],[RemarkHash]]="","OK",
   IF(COUNTIF(NPS_Data[RemarkHash],NPS_Data[[#This Row],[RemarkHash]])&gt;1,"RepeatedRemark","OK"))</f>
        <v>RepeatedRemark</v>
      </c>
      <c r="AA104" s="17">
        <f>IF( AND( ISNUMBER(NPS_Data[[#This Row],[CreatedDateTime]]), ISNUMBER(NPS_Data[[#This Row],[ResolvedDateTime]]) ), (NPS_Data[[#This Row],[ResolvedDateTime]] - NPS_Data[[#This Row],[CreatedDateTime]]) * 24, 0 )</f>
        <v>0</v>
      </c>
      <c r="AB104" s="65" t="str">
        <f>IF(NOT(ISNA(NPS_Data[[#This Row],[CreatedDateTime]])),
   YEAR(NPS_Data[[#This Row],[CreatedDateTime]]) &amp; "-" &amp; TEXT(WEEKNUM(NPS_Data[[#This Row],[CreatedDateTime]],2),"00"),
   "")</f>
        <v>2025-32</v>
      </c>
      <c r="AC104" s="14" t="str">
        <f>IF(NOT(ISNA(NPS_Data[[#This Row],[CreatedDateTime]])), TEXT(NPS_Data[[#This Row],[CreatedDateTime]],"YYYY-MM"), "")</f>
        <v>2025-08</v>
      </c>
      <c r="AD104" s="14" t="str">
        <f>IF(NOT(ISNUMBER(NPS_Data[[#This Row],[ResolutionHours]])),"Open", IF(NPS_Data[[#This Row],[ResolutionHours]]&gt;72,"Breach","OK"))</f>
        <v>OK</v>
      </c>
      <c r="AE104" s="14">
        <f>IF(AND(ISNUMBER(NPS_Data[[#This Row],[CreatedDateTime]]), ISNUMBER(NPS_Data[[#This Row],[ResolvedDateTime]])), 1, 0)</f>
        <v>0</v>
      </c>
      <c r="AF104" s="48" t="str">
        <f>IF(NOT(ISNA(NPS_Data[[#This Row],[CreatedDateTime]])), TEXT(NPS_Data[[#This Row],[CreatedDateTime]],"dddd"), "")</f>
        <v>Monday</v>
      </c>
    </row>
    <row r="105" spans="1:32" x14ac:dyDescent="0.25">
      <c r="A105" s="2" t="s">
        <v>661</v>
      </c>
      <c r="B105" s="2" t="s">
        <v>257</v>
      </c>
      <c r="C105" s="2" t="s">
        <v>662</v>
      </c>
      <c r="D10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45905.578229166669</v>
      </c>
      <c r="E105" s="2" t="s">
        <v>113</v>
      </c>
      <c r="F105" s="2" t="s">
        <v>197</v>
      </c>
      <c r="G105" s="2" t="s">
        <v>663</v>
      </c>
      <c r="H105"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45914.544722222221</v>
      </c>
      <c r="I105" s="2" t="s">
        <v>23</v>
      </c>
      <c r="J105" s="2" t="s">
        <v>23</v>
      </c>
      <c r="K105" s="2" t="s">
        <v>88</v>
      </c>
      <c r="L105" s="2" t="s">
        <v>664</v>
      </c>
      <c r="M105" s="2" t="s">
        <v>665</v>
      </c>
      <c r="N105" s="2" t="s">
        <v>389</v>
      </c>
      <c r="O105" s="2" t="s">
        <v>41</v>
      </c>
      <c r="P105" s="2" t="s">
        <v>92</v>
      </c>
      <c r="Q105" s="3">
        <v>2</v>
      </c>
      <c r="R105" s="2" t="s">
        <v>30</v>
      </c>
      <c r="S105" s="2" t="s">
        <v>31</v>
      </c>
      <c r="T105" s="2" t="str">
        <f>IF(OR(NPS_Data[[#This Row],[CreatedDateTime]]="",NPS_Data[[#This Row],[Assigned To]]="",NPS_Data[[#This Row],[Issue 2 - NPS]]="",NPS_Data[[#This Row],[Program Name]]=""),"Missing","OK")</f>
        <v>OK</v>
      </c>
      <c r="U105" s="2" t="str">
        <f>IF(
  AND(NPS_Data[[#This Row],[Status]]="Complete", OR(ISNA(NPS_Data[[#This Row],[ResolvedDateTime]]), ISBLANK(NPS_Data[[#This Row],[ResolvedDateTime]]))),
  "CompleteNoResolved",
  IF(
    AND(NPS_Data[[#This Row],[Status]]="Pending", NPS_Data[[#This Row],[Sub Status]]="Solved"),
    "PendingButSolved",
    "OK"
  )
)</f>
        <v>OK</v>
      </c>
      <c r="V10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05" s="2" t="str">
        <f>IFERROR(TRIM(CLEAN(NPS_Data[[#This Row],[Ticket All Remarks]])),"")</f>
        <v>Confused between Data Science and Machine Learning Engineer paths. Course covers both but unclear about day-to-day responsibilities and career progression in each field. || Resolution: Arranged informational interviews with professionals in both roles</v>
      </c>
      <c r="X105" s="2" cm="1">
        <f t="array" aca="1" ref="X105" ca="1">IF(NPS_Data[[#This Row],[CleanRemark]]="","",
   SUMPRODUCT(CODE(MID(NPS_Data[[#This Row],[CleanRemark]],ROW(INDIRECT("1:"&amp;LEN(NPS_Data[[#This Row],[CleanRemark]]))),1))))</f>
        <v>23965</v>
      </c>
      <c r="Y105" s="2" t="str">
        <f>IF(COUNTIF(NPS_Data[Ticket No],NPS_Data[[#This Row],[Ticket No]])&gt;1,"Duplicate","OK")</f>
        <v>OK</v>
      </c>
      <c r="Z105" s="2" t="str">
        <f ca="1">IF(NPS_Data[[#This Row],[RemarkHash]]="","OK",
   IF(COUNTIF(NPS_Data[RemarkHash],NPS_Data[[#This Row],[RemarkHash]])&gt;1,"RepeatedRemark","OK"))</f>
        <v>RepeatedRemark</v>
      </c>
      <c r="AA105" s="17">
        <f>IF( AND( ISNUMBER(NPS_Data[[#This Row],[CreatedDateTime]]), ISNUMBER(NPS_Data[[#This Row],[ResolvedDateTime]]) ), (NPS_Data[[#This Row],[ResolvedDateTime]] - NPS_Data[[#This Row],[CreatedDateTime]]) * 24, 0 )</f>
        <v>215.19583333324408</v>
      </c>
      <c r="AB105" s="65" t="str">
        <f>IF(NOT(ISNA(NPS_Data[[#This Row],[CreatedDateTime]])),
   YEAR(NPS_Data[[#This Row],[CreatedDateTime]]) &amp; "-" &amp; TEXT(WEEKNUM(NPS_Data[[#This Row],[CreatedDateTime]],2),"00"),
   "")</f>
        <v>2025-36</v>
      </c>
      <c r="AC105" s="14" t="str">
        <f>IF(NOT(ISNA(NPS_Data[[#This Row],[CreatedDateTime]])), TEXT(NPS_Data[[#This Row],[CreatedDateTime]],"YYYY-MM"), "")</f>
        <v>2025-09</v>
      </c>
      <c r="AD105" s="14" t="str">
        <f>IF(NOT(ISNUMBER(NPS_Data[[#This Row],[ResolutionHours]])),"Open", IF(NPS_Data[[#This Row],[ResolutionHours]]&gt;72,"Breach","OK"))</f>
        <v>Breach</v>
      </c>
      <c r="AE105" s="14">
        <f>IF(AND(ISNUMBER(NPS_Data[[#This Row],[CreatedDateTime]]), ISNUMBER(NPS_Data[[#This Row],[ResolvedDateTime]])), 1, 0)</f>
        <v>1</v>
      </c>
      <c r="AF105" s="48" t="str">
        <f>IF(NOT(ISNA(NPS_Data[[#This Row],[CreatedDateTime]])), TEXT(NPS_Data[[#This Row],[CreatedDateTime]],"dddd"), "")</f>
        <v>Friday</v>
      </c>
    </row>
    <row r="106" spans="1:32" x14ac:dyDescent="0.25">
      <c r="A106" s="2" t="s">
        <v>666</v>
      </c>
      <c r="B106" s="2" t="s">
        <v>257</v>
      </c>
      <c r="C106" s="2" t="s">
        <v>667</v>
      </c>
      <c r="D10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45905.647245370368</v>
      </c>
      <c r="E106" s="2" t="s">
        <v>71</v>
      </c>
      <c r="H106"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06" s="2" t="s">
        <v>23</v>
      </c>
      <c r="J106" s="2" t="s">
        <v>23</v>
      </c>
      <c r="K106" s="2" t="s">
        <v>56</v>
      </c>
      <c r="L106" s="2" t="s">
        <v>668</v>
      </c>
      <c r="M106" s="2" t="s">
        <v>669</v>
      </c>
      <c r="N106" s="2" t="s">
        <v>670</v>
      </c>
      <c r="O106" s="2" t="s">
        <v>177</v>
      </c>
      <c r="P106" s="2" t="s">
        <v>60</v>
      </c>
      <c r="Q106" s="3">
        <v>6</v>
      </c>
      <c r="R106" s="2" t="s">
        <v>49</v>
      </c>
      <c r="S106" s="2" t="s">
        <v>133</v>
      </c>
      <c r="T106" s="2" t="str">
        <f>IF(OR(NPS_Data[[#This Row],[CreatedDateTime]]="",NPS_Data[[#This Row],[Assigned To]]="",NPS_Data[[#This Row],[Issue 2 - NPS]]="",NPS_Data[[#This Row],[Program Name]]=""),"Missing","OK")</f>
        <v>OK</v>
      </c>
      <c r="U106" s="2" t="str">
        <f>IF(
  AND(NPS_Data[[#This Row],[Status]]="Complete", OR(ISNA(NPS_Data[[#This Row],[ResolvedDateTime]]), ISBLANK(NPS_Data[[#This Row],[ResolvedDateTime]]))),
  "CompleteNoResolved",
  IF(
    AND(NPS_Data[[#This Row],[Status]]="Pending", NPS_Data[[#This Row],[Sub Status]]="Solved"),
    "PendingButSolved",
    "OK"
  )
)</f>
        <v>OK</v>
      </c>
      <c r="V10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06" s="2" t="str">
        <f>IFERROR(TRIM(CLEAN(NPS_Data[[#This Row],[Ticket All Remarks]])),"")</f>
        <v>Weekend AIML sessions run 5 hours straight (10 AM - 3 PM) without proper breaks. Exhausting for working parents with family commitments on weekends. || Resolution: Restructured to 3-hour sessions with 30-minute breaks every 90 minutes</v>
      </c>
      <c r="X106" s="2" cm="1">
        <f t="array" aca="1" ref="X106" ca="1">IF(NPS_Data[[#This Row],[CleanRemark]]="","",
   SUMPRODUCT(CODE(MID(NPS_Data[[#This Row],[CleanRemark]],ROW(INDIRECT("1:"&amp;LEN(NPS_Data[[#This Row],[CleanRemark]]))),1))))</f>
        <v>21498</v>
      </c>
      <c r="Y106" s="2" t="str">
        <f>IF(COUNTIF(NPS_Data[Ticket No],NPS_Data[[#This Row],[Ticket No]])&gt;1,"Duplicate","OK")</f>
        <v>OK</v>
      </c>
      <c r="Z106" s="2" t="str">
        <f ca="1">IF(NPS_Data[[#This Row],[RemarkHash]]="","OK",
   IF(COUNTIF(NPS_Data[RemarkHash],NPS_Data[[#This Row],[RemarkHash]])&gt;1,"RepeatedRemark","OK"))</f>
        <v>RepeatedRemark</v>
      </c>
      <c r="AA106" s="17">
        <f>IF( AND( ISNUMBER(NPS_Data[[#This Row],[CreatedDateTime]]), ISNUMBER(NPS_Data[[#This Row],[ResolvedDateTime]]) ), (NPS_Data[[#This Row],[ResolvedDateTime]] - NPS_Data[[#This Row],[CreatedDateTime]]) * 24, 0 )</f>
        <v>0</v>
      </c>
      <c r="AB106" s="65" t="str">
        <f>IF(NOT(ISNA(NPS_Data[[#This Row],[CreatedDateTime]])),
   YEAR(NPS_Data[[#This Row],[CreatedDateTime]]) &amp; "-" &amp; TEXT(WEEKNUM(NPS_Data[[#This Row],[CreatedDateTime]],2),"00"),
   "")</f>
        <v>2025-36</v>
      </c>
      <c r="AC106" s="14" t="str">
        <f>IF(NOT(ISNA(NPS_Data[[#This Row],[CreatedDateTime]])), TEXT(NPS_Data[[#This Row],[CreatedDateTime]],"YYYY-MM"), "")</f>
        <v>2025-09</v>
      </c>
      <c r="AD106" s="14" t="str">
        <f>IF(NOT(ISNUMBER(NPS_Data[[#This Row],[ResolutionHours]])),"Open", IF(NPS_Data[[#This Row],[ResolutionHours]]&gt;72,"Breach","OK"))</f>
        <v>OK</v>
      </c>
      <c r="AE106" s="14">
        <f>IF(AND(ISNUMBER(NPS_Data[[#This Row],[CreatedDateTime]]), ISNUMBER(NPS_Data[[#This Row],[ResolvedDateTime]])), 1, 0)</f>
        <v>0</v>
      </c>
      <c r="AF106" s="48" t="str">
        <f>IF(NOT(ISNA(NPS_Data[[#This Row],[CreatedDateTime]])), TEXT(NPS_Data[[#This Row],[CreatedDateTime]],"dddd"), "")</f>
        <v>Friday</v>
      </c>
    </row>
    <row r="107" spans="1:32" x14ac:dyDescent="0.25">
      <c r="A107" s="2" t="s">
        <v>671</v>
      </c>
      <c r="B107" s="2" t="s">
        <v>267</v>
      </c>
      <c r="C107" s="2" t="s">
        <v>672</v>
      </c>
      <c r="D10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45879.652627314812</v>
      </c>
      <c r="E107" s="2" t="s">
        <v>44</v>
      </c>
      <c r="F107" s="2" t="s">
        <v>343</v>
      </c>
      <c r="G107" s="2" t="s">
        <v>673</v>
      </c>
      <c r="H107"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45888.472905092596</v>
      </c>
      <c r="I107" s="2" t="s">
        <v>23</v>
      </c>
      <c r="J107" s="2" t="s">
        <v>23</v>
      </c>
      <c r="K107" s="2" t="s">
        <v>56</v>
      </c>
      <c r="L107" s="2" t="s">
        <v>674</v>
      </c>
      <c r="M107" s="2" t="s">
        <v>675</v>
      </c>
      <c r="N107" s="2" t="s">
        <v>346</v>
      </c>
      <c r="O107" s="2" t="s">
        <v>48</v>
      </c>
      <c r="P107" s="2" t="s">
        <v>60</v>
      </c>
      <c r="Q107" s="3">
        <v>1</v>
      </c>
      <c r="R107" s="2" t="s">
        <v>30</v>
      </c>
      <c r="S107" s="2" t="s">
        <v>31</v>
      </c>
      <c r="T107" s="2" t="str">
        <f>IF(OR(NPS_Data[[#This Row],[CreatedDateTime]]="",NPS_Data[[#This Row],[Assigned To]]="",NPS_Data[[#This Row],[Issue 2 - NPS]]="",NPS_Data[[#This Row],[Program Name]]=""),"Missing","OK")</f>
        <v>OK</v>
      </c>
      <c r="U107" s="2" t="str">
        <f>IF(
  AND(NPS_Data[[#This Row],[Status]]="Complete", OR(ISNA(NPS_Data[[#This Row],[ResolvedDateTime]]), ISBLANK(NPS_Data[[#This Row],[ResolvedDateTime]]))),
  "CompleteNoResolved",
  IF(
    AND(NPS_Data[[#This Row],[Status]]="Pending", NPS_Data[[#This Row],[Sub Status]]="Solved"),
    "PendingButSolved",
    "OK"
  )
)</f>
        <v>OK</v>
      </c>
      <c r="V10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07" s="2" t="str">
        <f>IFERROR(TRIM(CLEAN(NPS_Data[[#This Row],[Ticket All Remarks]])),"")</f>
        <v>Assignment deadlines clash with office project deliveries. Given 3 major assignments during typical sprint planning weeks. Need better coordination. || Resolution: Staggered assignment deadlines and provided extension options</v>
      </c>
      <c r="X107" s="2" cm="1">
        <f t="array" aca="1" ref="X107" ca="1">IF(NPS_Data[[#This Row],[CleanRemark]]="","",
   SUMPRODUCT(CODE(MID(NPS_Data[[#This Row],[CleanRemark]],ROW(INDIRECT("1:"&amp;LEN(NPS_Data[[#This Row],[CleanRemark]]))),1))))</f>
        <v>21738</v>
      </c>
      <c r="Y107" s="2" t="str">
        <f>IF(COUNTIF(NPS_Data[Ticket No],NPS_Data[[#This Row],[Ticket No]])&gt;1,"Duplicate","OK")</f>
        <v>OK</v>
      </c>
      <c r="Z107" s="2" t="str">
        <f ca="1">IF(NPS_Data[[#This Row],[RemarkHash]]="","OK",
   IF(COUNTIF(NPS_Data[RemarkHash],NPS_Data[[#This Row],[RemarkHash]])&gt;1,"RepeatedRemark","OK"))</f>
        <v>RepeatedRemark</v>
      </c>
      <c r="AA107" s="17">
        <f>IF( AND( ISNUMBER(NPS_Data[[#This Row],[CreatedDateTime]]), ISNUMBER(NPS_Data[[#This Row],[ResolvedDateTime]]) ), (NPS_Data[[#This Row],[ResolvedDateTime]] - NPS_Data[[#This Row],[CreatedDateTime]]) * 24, 0 )</f>
        <v>211.68666666682111</v>
      </c>
      <c r="AB107" s="65" t="str">
        <f>IF(NOT(ISNA(NPS_Data[[#This Row],[CreatedDateTime]])),
   YEAR(NPS_Data[[#This Row],[CreatedDateTime]]) &amp; "-" &amp; TEXT(WEEKNUM(NPS_Data[[#This Row],[CreatedDateTime]],2),"00"),
   "")</f>
        <v>2025-32</v>
      </c>
      <c r="AC107" s="14" t="str">
        <f>IF(NOT(ISNA(NPS_Data[[#This Row],[CreatedDateTime]])), TEXT(NPS_Data[[#This Row],[CreatedDateTime]],"YYYY-MM"), "")</f>
        <v>2025-08</v>
      </c>
      <c r="AD107" s="14" t="str">
        <f>IF(NOT(ISNUMBER(NPS_Data[[#This Row],[ResolutionHours]])),"Open", IF(NPS_Data[[#This Row],[ResolutionHours]]&gt;72,"Breach","OK"))</f>
        <v>Breach</v>
      </c>
      <c r="AE107" s="14">
        <f>IF(AND(ISNUMBER(NPS_Data[[#This Row],[CreatedDateTime]]), ISNUMBER(NPS_Data[[#This Row],[ResolvedDateTime]])), 1, 0)</f>
        <v>1</v>
      </c>
      <c r="AF107" s="48" t="str">
        <f>IF(NOT(ISNA(NPS_Data[[#This Row],[CreatedDateTime]])), TEXT(NPS_Data[[#This Row],[CreatedDateTime]],"dddd"), "")</f>
        <v>Sunday</v>
      </c>
    </row>
    <row r="108" spans="1:32" x14ac:dyDescent="0.25">
      <c r="A108" s="2" t="s">
        <v>676</v>
      </c>
      <c r="B108" s="2" t="s">
        <v>118</v>
      </c>
      <c r="C108" s="2" t="s">
        <v>677</v>
      </c>
      <c r="D10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45871.771018518521</v>
      </c>
      <c r="E108" s="2" t="s">
        <v>113</v>
      </c>
      <c r="F108" s="2" t="s">
        <v>120</v>
      </c>
      <c r="G108" s="2" t="s">
        <v>678</v>
      </c>
      <c r="H108"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45882.435150462959</v>
      </c>
      <c r="I108" s="2" t="s">
        <v>23</v>
      </c>
      <c r="J108" s="2" t="s">
        <v>23</v>
      </c>
      <c r="K108" s="2" t="s">
        <v>88</v>
      </c>
      <c r="L108" s="2" t="s">
        <v>679</v>
      </c>
      <c r="M108" s="2" t="s">
        <v>680</v>
      </c>
      <c r="N108" s="2" t="s">
        <v>91</v>
      </c>
      <c r="O108" s="2" t="s">
        <v>48</v>
      </c>
      <c r="P108" s="2" t="s">
        <v>92</v>
      </c>
      <c r="Q108" s="3">
        <v>2</v>
      </c>
      <c r="R108" s="2" t="s">
        <v>30</v>
      </c>
      <c r="S108" s="2" t="s">
        <v>31</v>
      </c>
      <c r="T108" s="2" t="str">
        <f>IF(OR(NPS_Data[[#This Row],[CreatedDateTime]]="",NPS_Data[[#This Row],[Assigned To]]="",NPS_Data[[#This Row],[Issue 2 - NPS]]="",NPS_Data[[#This Row],[Program Name]]=""),"Missing","OK")</f>
        <v>OK</v>
      </c>
      <c r="U108" s="2" t="str">
        <f>IF(
  AND(NPS_Data[[#This Row],[Status]]="Complete", OR(ISNA(NPS_Data[[#This Row],[ResolvedDateTime]]), ISBLANK(NPS_Data[[#This Row],[ResolvedDateTime]]))),
  "CompleteNoResolved",
  IF(
    AND(NPS_Data[[#This Row],[Status]]="Pending", NPS_Data[[#This Row],[Sub Status]]="Solved"),
    "PendingButSolved",
    "OK"
  )
)</f>
        <v>OK</v>
      </c>
      <c r="V10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08" s="2" t="str">
        <f>IFERROR(TRIM(CLEAN(NPS_Data[[#This Row],[Ticket All Remarks]])),"")</f>
        <v>Considering career break for higher studies (MS abroad). Need advice on timing, university selection, and maintaining professional network during studies. || Resolution: Provided comprehensive higher education guidance and alumni connections</v>
      </c>
      <c r="X108" s="2" cm="1">
        <f t="array" aca="1" ref="X108" ca="1">IF(NPS_Data[[#This Row],[CleanRemark]]="","",
   SUMPRODUCT(CODE(MID(NPS_Data[[#This Row],[CleanRemark]],ROW(INDIRECT("1:"&amp;LEN(NPS_Data[[#This Row],[CleanRemark]]))),1))))</f>
        <v>23075</v>
      </c>
      <c r="Y108" s="2" t="str">
        <f>IF(COUNTIF(NPS_Data[Ticket No],NPS_Data[[#This Row],[Ticket No]])&gt;1,"Duplicate","OK")</f>
        <v>OK</v>
      </c>
      <c r="Z108" s="2" t="str">
        <f ca="1">IF(NPS_Data[[#This Row],[RemarkHash]]="","OK",
   IF(COUNTIF(NPS_Data[RemarkHash],NPS_Data[[#This Row],[RemarkHash]])&gt;1,"RepeatedRemark","OK"))</f>
        <v>RepeatedRemark</v>
      </c>
      <c r="AA108" s="17">
        <f>IF( AND( ISNUMBER(NPS_Data[[#This Row],[CreatedDateTime]]), ISNUMBER(NPS_Data[[#This Row],[ResolvedDateTime]]) ), (NPS_Data[[#This Row],[ResolvedDateTime]] - NPS_Data[[#This Row],[CreatedDateTime]]) * 24, 0 )</f>
        <v>255.9391666665324</v>
      </c>
      <c r="AB108" s="65" t="str">
        <f>IF(NOT(ISNA(NPS_Data[[#This Row],[CreatedDateTime]])),
   YEAR(NPS_Data[[#This Row],[CreatedDateTime]]) &amp; "-" &amp; TEXT(WEEKNUM(NPS_Data[[#This Row],[CreatedDateTime]],2),"00"),
   "")</f>
        <v>2025-31</v>
      </c>
      <c r="AC108" s="14" t="str">
        <f>IF(NOT(ISNA(NPS_Data[[#This Row],[CreatedDateTime]])), TEXT(NPS_Data[[#This Row],[CreatedDateTime]],"YYYY-MM"), "")</f>
        <v>2025-08</v>
      </c>
      <c r="AD108" s="14" t="str">
        <f>IF(NOT(ISNUMBER(NPS_Data[[#This Row],[ResolutionHours]])),"Open", IF(NPS_Data[[#This Row],[ResolutionHours]]&gt;72,"Breach","OK"))</f>
        <v>Breach</v>
      </c>
      <c r="AE108" s="14">
        <f>IF(AND(ISNUMBER(NPS_Data[[#This Row],[CreatedDateTime]]), ISNUMBER(NPS_Data[[#This Row],[ResolvedDateTime]])), 1, 0)</f>
        <v>1</v>
      </c>
      <c r="AF108" s="48" t="str">
        <f>IF(NOT(ISNA(NPS_Data[[#This Row],[CreatedDateTime]])), TEXT(NPS_Data[[#This Row],[CreatedDateTime]],"dddd"), "")</f>
        <v>Saturday</v>
      </c>
    </row>
    <row r="109" spans="1:32" x14ac:dyDescent="0.25">
      <c r="A109" s="2" t="s">
        <v>681</v>
      </c>
      <c r="B109" s="2" t="s">
        <v>78</v>
      </c>
      <c r="C109" s="2" t="s">
        <v>682</v>
      </c>
      <c r="D10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45903.501018518517</v>
      </c>
      <c r="E109" s="2" t="s">
        <v>167</v>
      </c>
      <c r="F109" s="2" t="s">
        <v>52</v>
      </c>
      <c r="G109" s="2" t="s">
        <v>683</v>
      </c>
      <c r="H109"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45913.631851851853</v>
      </c>
      <c r="I109" s="2" t="s">
        <v>23</v>
      </c>
      <c r="J109" s="2" t="s">
        <v>23</v>
      </c>
      <c r="K109" s="2" t="s">
        <v>38</v>
      </c>
      <c r="L109" s="2" t="s">
        <v>684</v>
      </c>
      <c r="M109" s="2" t="s">
        <v>685</v>
      </c>
      <c r="N109" s="2" t="s">
        <v>686</v>
      </c>
      <c r="O109" s="2" t="s">
        <v>177</v>
      </c>
      <c r="P109" s="2" t="s">
        <v>216</v>
      </c>
      <c r="Q109" s="3">
        <v>5</v>
      </c>
      <c r="R109" s="2" t="s">
        <v>30</v>
      </c>
      <c r="S109" s="2" t="s">
        <v>50</v>
      </c>
      <c r="T109" s="2" t="str">
        <f>IF(OR(NPS_Data[[#This Row],[CreatedDateTime]]="",NPS_Data[[#This Row],[Assigned To]]="",NPS_Data[[#This Row],[Issue 2 - NPS]]="",NPS_Data[[#This Row],[Program Name]]=""),"Missing","OK")</f>
        <v>OK</v>
      </c>
      <c r="U109" s="2" t="str">
        <f>IF(
  AND(NPS_Data[[#This Row],[Status]]="Complete", OR(ISNA(NPS_Data[[#This Row],[ResolvedDateTime]]), ISBLANK(NPS_Data[[#This Row],[ResolvedDateTime]]))),
  "CompleteNoResolved",
  IF(
    AND(NPS_Data[[#This Row],[Status]]="Pending", NPS_Data[[#This Row],[Sub Status]]="Solved"),
    "PendingButSolved",
    "OK"
  )
)</f>
        <v>OK</v>
      </c>
      <c r="V10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09" s="2" t="str">
        <f>IFERROR(TRIM(CLEAN(NPS_Data[[#This Row],[Ticket All Remarks]])),"")</f>
        <v>Assigned mentor Priya Sharma unresponsive to career queries for 3+ weeks. Sent 7 messages about transitioning from manual testing to automation but zero replies. || Resolution: Reassigned to senior automation mentor and implemented response time SLA</v>
      </c>
      <c r="X109" s="2" cm="1">
        <f t="array" aca="1" ref="X109" ca="1">IF(NPS_Data[[#This Row],[CleanRemark]]="","",
   SUMPRODUCT(CODE(MID(NPS_Data[[#This Row],[CleanRemark]],ROW(INDIRECT("1:"&amp;LEN(NPS_Data[[#This Row],[CleanRemark]]))),1))))</f>
        <v>23745</v>
      </c>
      <c r="Y109" s="2" t="str">
        <f>IF(COUNTIF(NPS_Data[Ticket No],NPS_Data[[#This Row],[Ticket No]])&gt;1,"Duplicate","OK")</f>
        <v>OK</v>
      </c>
      <c r="Z109" s="2" t="str">
        <f ca="1">IF(NPS_Data[[#This Row],[RemarkHash]]="","OK",
   IF(COUNTIF(NPS_Data[RemarkHash],NPS_Data[[#This Row],[RemarkHash]])&gt;1,"RepeatedRemark","OK"))</f>
        <v>RepeatedRemark</v>
      </c>
      <c r="AA109" s="17">
        <f>IF( AND( ISNUMBER(NPS_Data[[#This Row],[CreatedDateTime]]), ISNUMBER(NPS_Data[[#This Row],[ResolvedDateTime]]) ), (NPS_Data[[#This Row],[ResolvedDateTime]] - NPS_Data[[#This Row],[CreatedDateTime]]) * 24, 0 )</f>
        <v>243.14000000007218</v>
      </c>
      <c r="AB109" s="65" t="str">
        <f>IF(NOT(ISNA(NPS_Data[[#This Row],[CreatedDateTime]])),
   YEAR(NPS_Data[[#This Row],[CreatedDateTime]]) &amp; "-" &amp; TEXT(WEEKNUM(NPS_Data[[#This Row],[CreatedDateTime]],2),"00"),
   "")</f>
        <v>2025-36</v>
      </c>
      <c r="AC109" s="14" t="str">
        <f>IF(NOT(ISNA(NPS_Data[[#This Row],[CreatedDateTime]])), TEXT(NPS_Data[[#This Row],[CreatedDateTime]],"YYYY-MM"), "")</f>
        <v>2025-09</v>
      </c>
      <c r="AD109" s="14" t="str">
        <f>IF(NOT(ISNUMBER(NPS_Data[[#This Row],[ResolutionHours]])),"Open", IF(NPS_Data[[#This Row],[ResolutionHours]]&gt;72,"Breach","OK"))</f>
        <v>Breach</v>
      </c>
      <c r="AE109" s="14">
        <f>IF(AND(ISNUMBER(NPS_Data[[#This Row],[CreatedDateTime]]), ISNUMBER(NPS_Data[[#This Row],[ResolvedDateTime]])), 1, 0)</f>
        <v>1</v>
      </c>
      <c r="AF109" s="48" t="str">
        <f>IF(NOT(ISNA(NPS_Data[[#This Row],[CreatedDateTime]])), TEXT(NPS_Data[[#This Row],[CreatedDateTime]],"dddd"), "")</f>
        <v>Wednesday</v>
      </c>
    </row>
    <row r="110" spans="1:32" x14ac:dyDescent="0.25">
      <c r="A110" s="2" t="s">
        <v>687</v>
      </c>
      <c r="B110" s="2" t="s">
        <v>331</v>
      </c>
      <c r="C110" s="2" t="s">
        <v>688</v>
      </c>
      <c r="D11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45919.812881944446</v>
      </c>
      <c r="E110" s="2" t="s">
        <v>104</v>
      </c>
      <c r="F110" s="2" t="s">
        <v>161</v>
      </c>
      <c r="G110" s="2" t="s">
        <v>689</v>
      </c>
      <c r="H110"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45927.406342592592</v>
      </c>
      <c r="I110" s="2" t="s">
        <v>23</v>
      </c>
      <c r="J110" s="2" t="s">
        <v>23</v>
      </c>
      <c r="K110" s="2" t="s">
        <v>56</v>
      </c>
      <c r="L110" s="2" t="s">
        <v>690</v>
      </c>
      <c r="M110" s="2" t="s">
        <v>691</v>
      </c>
      <c r="N110" s="2" t="s">
        <v>692</v>
      </c>
      <c r="O110" s="2" t="s">
        <v>177</v>
      </c>
      <c r="P110" s="2" t="s">
        <v>60</v>
      </c>
      <c r="Q110" s="3">
        <v>5</v>
      </c>
      <c r="R110" s="2" t="s">
        <v>30</v>
      </c>
      <c r="S110" s="2" t="s">
        <v>31</v>
      </c>
      <c r="T110" s="2" t="str">
        <f>IF(OR(NPS_Data[[#This Row],[CreatedDateTime]]="",NPS_Data[[#This Row],[Assigned To]]="",NPS_Data[[#This Row],[Issue 2 - NPS]]="",NPS_Data[[#This Row],[Program Name]]=""),"Missing","OK")</f>
        <v>OK</v>
      </c>
      <c r="U110" s="2" t="str">
        <f>IF(
  AND(NPS_Data[[#This Row],[Status]]="Complete", OR(ISNA(NPS_Data[[#This Row],[ResolvedDateTime]]), ISBLANK(NPS_Data[[#This Row],[ResolvedDateTime]]))),
  "CompleteNoResolved",
  IF(
    AND(NPS_Data[[#This Row],[Status]]="Pending", NPS_Data[[#This Row],[Sub Status]]="Solved"),
    "PendingButSolved",
    "OK"
  )
)</f>
        <v>OK</v>
      </c>
      <c r="V11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10" s="2" t="str">
        <f>IFERROR(TRIM(CLEAN(NPS_Data[[#This Row],[Ticket All Remarks]])),"")</f>
        <v>Mentor calls scheduled during lunch hours (1-2 PM) when most professionals are in meetings. Need evening or early morning slots. || Resolution: Extended mentor availability to 7-9 PM weekday slots</v>
      </c>
      <c r="X110" s="2" cm="1">
        <f t="array" aca="1" ref="X110" ca="1">IF(NPS_Data[[#This Row],[CleanRemark]]="","",
   SUMPRODUCT(CODE(MID(NPS_Data[[#This Row],[CleanRemark]],ROW(INDIRECT("1:"&amp;LEN(NPS_Data[[#This Row],[CleanRemark]]))),1))))</f>
        <v>18147</v>
      </c>
      <c r="Y110" s="2" t="str">
        <f>IF(COUNTIF(NPS_Data[Ticket No],NPS_Data[[#This Row],[Ticket No]])&gt;1,"Duplicate","OK")</f>
        <v>OK</v>
      </c>
      <c r="Z110" s="2" t="str">
        <f ca="1">IF(NPS_Data[[#This Row],[RemarkHash]]="","OK",
   IF(COUNTIF(NPS_Data[RemarkHash],NPS_Data[[#This Row],[RemarkHash]])&gt;1,"RepeatedRemark","OK"))</f>
        <v>OK</v>
      </c>
      <c r="AA110" s="17">
        <f>IF( AND( ISNUMBER(NPS_Data[[#This Row],[CreatedDateTime]]), ISNUMBER(NPS_Data[[#This Row],[ResolvedDateTime]]) ), (NPS_Data[[#This Row],[ResolvedDateTime]] - NPS_Data[[#This Row],[CreatedDateTime]]) * 24, 0 )</f>
        <v>182.24305555550382</v>
      </c>
      <c r="AB110" s="65" t="str">
        <f>IF(NOT(ISNA(NPS_Data[[#This Row],[CreatedDateTime]])),
   YEAR(NPS_Data[[#This Row],[CreatedDateTime]]) &amp; "-" &amp; TEXT(WEEKNUM(NPS_Data[[#This Row],[CreatedDateTime]],2),"00"),
   "")</f>
        <v>2025-38</v>
      </c>
      <c r="AC110" s="14" t="str">
        <f>IF(NOT(ISNA(NPS_Data[[#This Row],[CreatedDateTime]])), TEXT(NPS_Data[[#This Row],[CreatedDateTime]],"YYYY-MM"), "")</f>
        <v>2025-09</v>
      </c>
      <c r="AD110" s="14" t="str">
        <f>IF(NOT(ISNUMBER(NPS_Data[[#This Row],[ResolutionHours]])),"Open", IF(NPS_Data[[#This Row],[ResolutionHours]]&gt;72,"Breach","OK"))</f>
        <v>Breach</v>
      </c>
      <c r="AE110" s="14">
        <f>IF(AND(ISNUMBER(NPS_Data[[#This Row],[CreatedDateTime]]), ISNUMBER(NPS_Data[[#This Row],[ResolvedDateTime]])), 1, 0)</f>
        <v>1</v>
      </c>
      <c r="AF110" s="48" t="str">
        <f>IF(NOT(ISNA(NPS_Data[[#This Row],[CreatedDateTime]])), TEXT(NPS_Data[[#This Row],[CreatedDateTime]],"dddd"), "")</f>
        <v>Friday</v>
      </c>
    </row>
    <row r="111" spans="1:32" x14ac:dyDescent="0.25">
      <c r="A111" s="2" t="s">
        <v>693</v>
      </c>
      <c r="B111" s="2" t="s">
        <v>52</v>
      </c>
      <c r="C111" s="2" t="s">
        <v>694</v>
      </c>
      <c r="D11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45913.510613425926</v>
      </c>
      <c r="E111" s="2" t="s">
        <v>80</v>
      </c>
      <c r="H111"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11" s="2" t="s">
        <v>23</v>
      </c>
      <c r="J111" s="2" t="s">
        <v>23</v>
      </c>
      <c r="K111" s="2" t="s">
        <v>56</v>
      </c>
      <c r="L111" s="2" t="s">
        <v>695</v>
      </c>
      <c r="M111" s="2" t="s">
        <v>696</v>
      </c>
      <c r="N111" s="2" t="s">
        <v>697</v>
      </c>
      <c r="O111" s="2" t="s">
        <v>48</v>
      </c>
      <c r="P111" s="2" t="s">
        <v>60</v>
      </c>
      <c r="Q111" s="3">
        <v>9</v>
      </c>
      <c r="R111" s="2" t="s">
        <v>49</v>
      </c>
      <c r="S111" s="2" t="s">
        <v>50</v>
      </c>
      <c r="T111" s="2" t="str">
        <f>IF(OR(NPS_Data[[#This Row],[CreatedDateTime]]="",NPS_Data[[#This Row],[Assigned To]]="",NPS_Data[[#This Row],[Issue 2 - NPS]]="",NPS_Data[[#This Row],[Program Name]]=""),"Missing","OK")</f>
        <v>OK</v>
      </c>
      <c r="U111" s="2" t="str">
        <f>IF(
  AND(NPS_Data[[#This Row],[Status]]="Complete", OR(ISNA(NPS_Data[[#This Row],[ResolvedDateTime]]), ISBLANK(NPS_Data[[#This Row],[ResolvedDateTime]]))),
  "CompleteNoResolved",
  IF(
    AND(NPS_Data[[#This Row],[Status]]="Pending", NPS_Data[[#This Row],[Sub Status]]="Solved"),
    "PendingButSolved",
    "OK"
  )
)</f>
        <v>OK</v>
      </c>
      <c r="V11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11" s="2" t="str">
        <f>IFERROR(TRIM(CLEAN(NPS_Data[[#This Row],[Ticket All Remarks]])),"")</f>
        <v>Holiday classes scheduled during Diwali week without considering festival commitments. Attendance drops to 30% affecting DevOps Aug25 momentum. || Resolution: Rescheduled holiday periods and created festival-friendly calendar</v>
      </c>
      <c r="X111" s="2" cm="1">
        <f t="array" aca="1" ref="X111" ca="1">IF(NPS_Data[[#This Row],[CleanRemark]]="","",
   SUMPRODUCT(CODE(MID(NPS_Data[[#This Row],[CleanRemark]],ROW(INDIRECT("1:"&amp;LEN(NPS_Data[[#This Row],[CleanRemark]]))),1))))</f>
        <v>21406</v>
      </c>
      <c r="Y111" s="2" t="str">
        <f>IF(COUNTIF(NPS_Data[Ticket No],NPS_Data[[#This Row],[Ticket No]])&gt;1,"Duplicate","OK")</f>
        <v>OK</v>
      </c>
      <c r="Z111" s="2" t="str">
        <f ca="1">IF(NPS_Data[[#This Row],[RemarkHash]]="","OK",
   IF(COUNTIF(NPS_Data[RemarkHash],NPS_Data[[#This Row],[RemarkHash]])&gt;1,"RepeatedRemark","OK"))</f>
        <v>RepeatedRemark</v>
      </c>
      <c r="AA111" s="17">
        <f>IF( AND( ISNUMBER(NPS_Data[[#This Row],[CreatedDateTime]]), ISNUMBER(NPS_Data[[#This Row],[ResolvedDateTime]]) ), (NPS_Data[[#This Row],[ResolvedDateTime]] - NPS_Data[[#This Row],[CreatedDateTime]]) * 24, 0 )</f>
        <v>0</v>
      </c>
      <c r="AB111" s="65" t="str">
        <f>IF(NOT(ISNA(NPS_Data[[#This Row],[CreatedDateTime]])),
   YEAR(NPS_Data[[#This Row],[CreatedDateTime]]) &amp; "-" &amp; TEXT(WEEKNUM(NPS_Data[[#This Row],[CreatedDateTime]],2),"00"),
   "")</f>
        <v>2025-37</v>
      </c>
      <c r="AC111" s="14" t="str">
        <f>IF(NOT(ISNA(NPS_Data[[#This Row],[CreatedDateTime]])), TEXT(NPS_Data[[#This Row],[CreatedDateTime]],"YYYY-MM"), "")</f>
        <v>2025-09</v>
      </c>
      <c r="AD111" s="14" t="str">
        <f>IF(NOT(ISNUMBER(NPS_Data[[#This Row],[ResolutionHours]])),"Open", IF(NPS_Data[[#This Row],[ResolutionHours]]&gt;72,"Breach","OK"))</f>
        <v>OK</v>
      </c>
      <c r="AE111" s="14">
        <f>IF(AND(ISNUMBER(NPS_Data[[#This Row],[CreatedDateTime]]), ISNUMBER(NPS_Data[[#This Row],[ResolvedDateTime]])), 1, 0)</f>
        <v>0</v>
      </c>
      <c r="AF111" s="48" t="str">
        <f>IF(NOT(ISNA(NPS_Data[[#This Row],[CreatedDateTime]])), TEXT(NPS_Data[[#This Row],[CreatedDateTime]],"dddd"), "")</f>
        <v>Saturday</v>
      </c>
    </row>
    <row r="112" spans="1:32" x14ac:dyDescent="0.25">
      <c r="A112" s="2" t="s">
        <v>698</v>
      </c>
      <c r="B112" s="2" t="s">
        <v>197</v>
      </c>
      <c r="C112" s="2" t="s">
        <v>699</v>
      </c>
      <c r="D11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45914.78025462963</v>
      </c>
      <c r="E112" s="2" t="s">
        <v>104</v>
      </c>
      <c r="F112" s="2" t="s">
        <v>372</v>
      </c>
      <c r="G112" s="2" t="s">
        <v>700</v>
      </c>
      <c r="H112"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45920.682349537034</v>
      </c>
      <c r="I112" s="2" t="s">
        <v>23</v>
      </c>
      <c r="J112" s="2" t="s">
        <v>23</v>
      </c>
      <c r="K112" s="2" t="s">
        <v>24</v>
      </c>
      <c r="L112" s="2" t="s">
        <v>701</v>
      </c>
      <c r="M112" s="2" t="s">
        <v>702</v>
      </c>
      <c r="N112" s="2" t="s">
        <v>703</v>
      </c>
      <c r="O112" s="2" t="s">
        <v>48</v>
      </c>
      <c r="P112" s="2" t="s">
        <v>216</v>
      </c>
      <c r="Q112" s="3">
        <v>1</v>
      </c>
      <c r="R112" s="2" t="s">
        <v>30</v>
      </c>
      <c r="S112" s="2" t="s">
        <v>31</v>
      </c>
      <c r="T112" s="2" t="str">
        <f>IF(OR(NPS_Data[[#This Row],[CreatedDateTime]]="",NPS_Data[[#This Row],[Assigned To]]="",NPS_Data[[#This Row],[Issue 2 - NPS]]="",NPS_Data[[#This Row],[Program Name]]=""),"Missing","OK")</f>
        <v>OK</v>
      </c>
      <c r="U112" s="2" t="str">
        <f>IF(
  AND(NPS_Data[[#This Row],[Status]]="Complete", OR(ISNA(NPS_Data[[#This Row],[ResolvedDateTime]]), ISBLANK(NPS_Data[[#This Row],[ResolvedDateTime]]))),
  "CompleteNoResolved",
  IF(
    AND(NPS_Data[[#This Row],[Status]]="Pending", NPS_Data[[#This Row],[Sub Status]]="Solved"),
    "PendingButSolved",
    "OK"
  )
)</f>
        <v>OK</v>
      </c>
      <c r="V11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12" s="2" t="str">
        <f>IFERROR(TRIM(CLEAN(NPS_Data[[#This Row],[Ticket All Remarks]])),"")</f>
        <v>Career guidance sessions focus only on technical skills. No discussion about salary negotiation, Ola culture fit, or work-life balance considerations. || Resolution: Introduced holistic career coaching covering all professional aspects</v>
      </c>
      <c r="X112" s="2" cm="1">
        <f t="array" aca="1" ref="X112" ca="1">IF(NPS_Data[[#This Row],[CleanRemark]]="","",
   SUMPRODUCT(CODE(MID(NPS_Data[[#This Row],[CleanRemark]],ROW(INDIRECT("1:"&amp;LEN(NPS_Data[[#This Row],[CleanRemark]]))),1))))</f>
        <v>22595</v>
      </c>
      <c r="Y112" s="2" t="str">
        <f>IF(COUNTIF(NPS_Data[Ticket No],NPS_Data[[#This Row],[Ticket No]])&gt;1,"Duplicate","OK")</f>
        <v>OK</v>
      </c>
      <c r="Z112" s="2" t="str">
        <f ca="1">IF(NPS_Data[[#This Row],[RemarkHash]]="","OK",
   IF(COUNTIF(NPS_Data[RemarkHash],NPS_Data[[#This Row],[RemarkHash]])&gt;1,"RepeatedRemark","OK"))</f>
        <v>RepeatedRemark</v>
      </c>
      <c r="AA112" s="17">
        <f>IF( AND( ISNUMBER(NPS_Data[[#This Row],[CreatedDateTime]]), ISNUMBER(NPS_Data[[#This Row],[ResolvedDateTime]]) ), (NPS_Data[[#This Row],[ResolvedDateTime]] - NPS_Data[[#This Row],[CreatedDateTime]]) * 24, 0 )</f>
        <v>141.65027777769137</v>
      </c>
      <c r="AB112" s="65" t="str">
        <f>IF(NOT(ISNA(NPS_Data[[#This Row],[CreatedDateTime]])),
   YEAR(NPS_Data[[#This Row],[CreatedDateTime]]) &amp; "-" &amp; TEXT(WEEKNUM(NPS_Data[[#This Row],[CreatedDateTime]],2),"00"),
   "")</f>
        <v>2025-37</v>
      </c>
      <c r="AC112" s="14" t="str">
        <f>IF(NOT(ISNA(NPS_Data[[#This Row],[CreatedDateTime]])), TEXT(NPS_Data[[#This Row],[CreatedDateTime]],"YYYY-MM"), "")</f>
        <v>2025-09</v>
      </c>
      <c r="AD112" s="14" t="str">
        <f>IF(NOT(ISNUMBER(NPS_Data[[#This Row],[ResolutionHours]])),"Open", IF(NPS_Data[[#This Row],[ResolutionHours]]&gt;72,"Breach","OK"))</f>
        <v>Breach</v>
      </c>
      <c r="AE112" s="14">
        <f>IF(AND(ISNUMBER(NPS_Data[[#This Row],[CreatedDateTime]]), ISNUMBER(NPS_Data[[#This Row],[ResolvedDateTime]])), 1, 0)</f>
        <v>1</v>
      </c>
      <c r="AF112" s="48" t="str">
        <f>IF(NOT(ISNA(NPS_Data[[#This Row],[CreatedDateTime]])), TEXT(NPS_Data[[#This Row],[CreatedDateTime]],"dddd"), "")</f>
        <v>Sunday</v>
      </c>
    </row>
    <row r="113" spans="1:32" x14ac:dyDescent="0.25">
      <c r="A113" s="2" t="s">
        <v>704</v>
      </c>
      <c r="B113" s="2" t="s">
        <v>343</v>
      </c>
      <c r="C113" s="2" t="s">
        <v>705</v>
      </c>
      <c r="D11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45888.80332175926</v>
      </c>
      <c r="E113" s="2" t="s">
        <v>87</v>
      </c>
      <c r="H113"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13" s="2" t="s">
        <v>23</v>
      </c>
      <c r="J113" s="2" t="s">
        <v>23</v>
      </c>
      <c r="K113" s="2" t="s">
        <v>38</v>
      </c>
      <c r="L113" s="2" t="s">
        <v>706</v>
      </c>
      <c r="M113" s="2" t="s">
        <v>707</v>
      </c>
      <c r="N113" s="2" t="s">
        <v>284</v>
      </c>
      <c r="O113" s="2" t="s">
        <v>48</v>
      </c>
      <c r="P113" s="2" t="s">
        <v>285</v>
      </c>
      <c r="Q113" s="3">
        <v>2</v>
      </c>
      <c r="R113" s="2" t="s">
        <v>49</v>
      </c>
      <c r="S113" s="2" t="s">
        <v>133</v>
      </c>
      <c r="T113" s="2" t="str">
        <f>IF(OR(NPS_Data[[#This Row],[CreatedDateTime]]="",NPS_Data[[#This Row],[Assigned To]]="",NPS_Data[[#This Row],[Issue 2 - NPS]]="",NPS_Data[[#This Row],[Program Name]]=""),"Missing","OK")</f>
        <v>OK</v>
      </c>
      <c r="U113" s="2" t="str">
        <f>IF(
  AND(NPS_Data[[#This Row],[Status]]="Complete", OR(ISNA(NPS_Data[[#This Row],[ResolvedDateTime]]), ISBLANK(NPS_Data[[#This Row],[ResolvedDateTime]]))),
  "CompleteNoResolved",
  IF(
    AND(NPS_Data[[#This Row],[Status]]="Pending", NPS_Data[[#This Row],[Sub Status]]="Solved"),
    "PendingButSolved",
    "OK"
  )
)</f>
        <v>OK</v>
      </c>
      <c r="V11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13" s="2" t="str">
        <f>IFERROR(TRIM(CLEAN(NPS_Data[[#This Row],[Ticket All Remarks]])),"")</f>
        <v>Lecture slides contain only bullet points without detailed explanations. Need comprehensive notes for exam preparation and interview revision. || Resolution: Enhanced slides with detailed explanations and examples</v>
      </c>
      <c r="X113" s="2" cm="1">
        <f t="array" aca="1" ref="X113" ca="1">IF(NPS_Data[[#This Row],[CleanRemark]]="","",
   SUMPRODUCT(CODE(MID(NPS_Data[[#This Row],[CleanRemark]],ROW(INDIRECT("1:"&amp;LEN(NPS_Data[[#This Row],[CleanRemark]]))),1))))</f>
        <v>20736</v>
      </c>
      <c r="Y113" s="2" t="str">
        <f>IF(COUNTIF(NPS_Data[Ticket No],NPS_Data[[#This Row],[Ticket No]])&gt;1,"Duplicate","OK")</f>
        <v>OK</v>
      </c>
      <c r="Z113" s="2" t="str">
        <f ca="1">IF(NPS_Data[[#This Row],[RemarkHash]]="","OK",
   IF(COUNTIF(NPS_Data[RemarkHash],NPS_Data[[#This Row],[RemarkHash]])&gt;1,"RepeatedRemark","OK"))</f>
        <v>RepeatedRemark</v>
      </c>
      <c r="AA113" s="17">
        <f>IF( AND( ISNUMBER(NPS_Data[[#This Row],[CreatedDateTime]]), ISNUMBER(NPS_Data[[#This Row],[ResolvedDateTime]]) ), (NPS_Data[[#This Row],[ResolvedDateTime]] - NPS_Data[[#This Row],[CreatedDateTime]]) * 24, 0 )</f>
        <v>0</v>
      </c>
      <c r="AB113" s="65" t="str">
        <f>IF(NOT(ISNA(NPS_Data[[#This Row],[CreatedDateTime]])),
   YEAR(NPS_Data[[#This Row],[CreatedDateTime]]) &amp; "-" &amp; TEXT(WEEKNUM(NPS_Data[[#This Row],[CreatedDateTime]],2),"00"),
   "")</f>
        <v>2025-34</v>
      </c>
      <c r="AC113" s="14" t="str">
        <f>IF(NOT(ISNA(NPS_Data[[#This Row],[CreatedDateTime]])), TEXT(NPS_Data[[#This Row],[CreatedDateTime]],"YYYY-MM"), "")</f>
        <v>2025-08</v>
      </c>
      <c r="AD113" s="14" t="str">
        <f>IF(NOT(ISNUMBER(NPS_Data[[#This Row],[ResolutionHours]])),"Open", IF(NPS_Data[[#This Row],[ResolutionHours]]&gt;72,"Breach","OK"))</f>
        <v>OK</v>
      </c>
      <c r="AE113" s="14">
        <f>IF(AND(ISNUMBER(NPS_Data[[#This Row],[CreatedDateTime]]), ISNUMBER(NPS_Data[[#This Row],[ResolvedDateTime]])), 1, 0)</f>
        <v>0</v>
      </c>
      <c r="AF113" s="48" t="str">
        <f>IF(NOT(ISNA(NPS_Data[[#This Row],[CreatedDateTime]])), TEXT(NPS_Data[[#This Row],[CreatedDateTime]],"dddd"), "")</f>
        <v>Tuesday</v>
      </c>
    </row>
    <row r="114" spans="1:32" x14ac:dyDescent="0.25">
      <c r="A114" s="2" t="s">
        <v>708</v>
      </c>
      <c r="B114" s="2" t="s">
        <v>127</v>
      </c>
      <c r="C114" s="2" t="s">
        <v>709</v>
      </c>
      <c r="D11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45878.379467592589</v>
      </c>
      <c r="E114" s="2" t="s">
        <v>167</v>
      </c>
      <c r="H114"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14" s="2" t="s">
        <v>23</v>
      </c>
      <c r="J114" s="2" t="s">
        <v>23</v>
      </c>
      <c r="K114" s="2" t="s">
        <v>88</v>
      </c>
      <c r="L114" s="2" t="s">
        <v>710</v>
      </c>
      <c r="M114" s="2" t="s">
        <v>711</v>
      </c>
      <c r="N114" s="2" t="s">
        <v>703</v>
      </c>
      <c r="O114" s="2" t="s">
        <v>28</v>
      </c>
      <c r="P114" s="2" t="s">
        <v>216</v>
      </c>
      <c r="Q114" s="3">
        <v>4</v>
      </c>
      <c r="R114" s="2" t="s">
        <v>30</v>
      </c>
      <c r="S114" s="2" t="s">
        <v>31</v>
      </c>
      <c r="T114" s="2" t="str">
        <f>IF(OR(NPS_Data[[#This Row],[CreatedDateTime]]="",NPS_Data[[#This Row],[Assigned To]]="",NPS_Data[[#This Row],[Issue 2 - NPS]]="",NPS_Data[[#This Row],[Program Name]]=""),"Missing","OK")</f>
        <v>OK</v>
      </c>
      <c r="U114" s="2" t="str">
        <f>IF(
  AND(NPS_Data[[#This Row],[Status]]="Complete", OR(ISNA(NPS_Data[[#This Row],[ResolvedDateTime]]), ISBLANK(NPS_Data[[#This Row],[ResolvedDateTime]]))),
  "CompleteNoResolved",
  IF(
    AND(NPS_Data[[#This Row],[Status]]="Pending", NPS_Data[[#This Row],[Sub Status]]="Solved"),
    "PendingButSolved",
    "OK"
  )
)</f>
        <v>OK</v>
      </c>
      <c r="V11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14" s="2" t="str">
        <f>IFERROR(TRIM(CLEAN(NPS_Data[[#This Row],[Ticket All Remarks]])),"")</f>
        <v>Career guidance sessions focus only on technical skills. No discussion about salary negotiation, Ola culture fit, or work-life balance considerations. || Resolution: Introduced holistic career coaching covering all professional aspects</v>
      </c>
      <c r="X114" s="2" cm="1">
        <f t="array" aca="1" ref="X114" ca="1">IF(NPS_Data[[#This Row],[CleanRemark]]="","",
   SUMPRODUCT(CODE(MID(NPS_Data[[#This Row],[CleanRemark]],ROW(INDIRECT("1:"&amp;LEN(NPS_Data[[#This Row],[CleanRemark]]))),1))))</f>
        <v>22595</v>
      </c>
      <c r="Y114" s="2" t="str">
        <f>IF(COUNTIF(NPS_Data[Ticket No],NPS_Data[[#This Row],[Ticket No]])&gt;1,"Duplicate","OK")</f>
        <v>OK</v>
      </c>
      <c r="Z114" s="2" t="str">
        <f ca="1">IF(NPS_Data[[#This Row],[RemarkHash]]="","OK",
   IF(COUNTIF(NPS_Data[RemarkHash],NPS_Data[[#This Row],[RemarkHash]])&gt;1,"RepeatedRemark","OK"))</f>
        <v>RepeatedRemark</v>
      </c>
      <c r="AA114" s="17">
        <f>IF( AND( ISNUMBER(NPS_Data[[#This Row],[CreatedDateTime]]), ISNUMBER(NPS_Data[[#This Row],[ResolvedDateTime]]) ), (NPS_Data[[#This Row],[ResolvedDateTime]] - NPS_Data[[#This Row],[CreatedDateTime]]) * 24, 0 )</f>
        <v>0</v>
      </c>
      <c r="AB114" s="65" t="str">
        <f>IF(NOT(ISNA(NPS_Data[[#This Row],[CreatedDateTime]])),
   YEAR(NPS_Data[[#This Row],[CreatedDateTime]]) &amp; "-" &amp; TEXT(WEEKNUM(NPS_Data[[#This Row],[CreatedDateTime]],2),"00"),
   "")</f>
        <v>2025-32</v>
      </c>
      <c r="AC114" s="14" t="str">
        <f>IF(NOT(ISNA(NPS_Data[[#This Row],[CreatedDateTime]])), TEXT(NPS_Data[[#This Row],[CreatedDateTime]],"YYYY-MM"), "")</f>
        <v>2025-08</v>
      </c>
      <c r="AD114" s="14" t="str">
        <f>IF(NOT(ISNUMBER(NPS_Data[[#This Row],[ResolutionHours]])),"Open", IF(NPS_Data[[#This Row],[ResolutionHours]]&gt;72,"Breach","OK"))</f>
        <v>OK</v>
      </c>
      <c r="AE114" s="14">
        <f>IF(AND(ISNUMBER(NPS_Data[[#This Row],[CreatedDateTime]]), ISNUMBER(NPS_Data[[#This Row],[ResolvedDateTime]])), 1, 0)</f>
        <v>0</v>
      </c>
      <c r="AF114" s="48" t="str">
        <f>IF(NOT(ISNA(NPS_Data[[#This Row],[CreatedDateTime]])), TEXT(NPS_Data[[#This Row],[CreatedDateTime]],"dddd"), "")</f>
        <v>Saturday</v>
      </c>
    </row>
    <row r="115" spans="1:32" x14ac:dyDescent="0.25">
      <c r="A115" s="2" t="s">
        <v>712</v>
      </c>
      <c r="B115" s="2" t="s">
        <v>143</v>
      </c>
      <c r="C115" s="2" t="s">
        <v>713</v>
      </c>
      <c r="D11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45896.570173611108</v>
      </c>
      <c r="E115" s="2" t="s">
        <v>20</v>
      </c>
      <c r="F115" s="2" t="s">
        <v>255</v>
      </c>
      <c r="G115" s="2" t="s">
        <v>714</v>
      </c>
      <c r="H115"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45904.695277777777</v>
      </c>
      <c r="I115" s="2" t="s">
        <v>23</v>
      </c>
      <c r="J115" s="2" t="s">
        <v>23</v>
      </c>
      <c r="K115" s="2" t="s">
        <v>38</v>
      </c>
      <c r="L115" s="2" t="s">
        <v>715</v>
      </c>
      <c r="M115" s="2" t="s">
        <v>716</v>
      </c>
      <c r="N115" s="2" t="s">
        <v>607</v>
      </c>
      <c r="O115" s="2" t="s">
        <v>48</v>
      </c>
      <c r="P115" s="2" t="s">
        <v>379</v>
      </c>
      <c r="Q115" s="3">
        <v>1</v>
      </c>
      <c r="R115" s="2" t="s">
        <v>30</v>
      </c>
      <c r="S115" s="2" t="s">
        <v>31</v>
      </c>
      <c r="T115" s="2" t="str">
        <f>IF(OR(NPS_Data[[#This Row],[CreatedDateTime]]="",NPS_Data[[#This Row],[Assigned To]]="",NPS_Data[[#This Row],[Issue 2 - NPS]]="",NPS_Data[[#This Row],[Program Name]]=""),"Missing","OK")</f>
        <v>OK</v>
      </c>
      <c r="U115" s="2" t="str">
        <f>IF(
  AND(NPS_Data[[#This Row],[Status]]="Complete", OR(ISNA(NPS_Data[[#This Row],[ResolvedDateTime]]), ISBLANK(NPS_Data[[#This Row],[ResolvedDateTime]]))),
  "CompleteNoResolved",
  IF(
    AND(NPS_Data[[#This Row],[Status]]="Pending", NPS_Data[[#This Row],[Sub Status]]="Solved"),
    "PendingButSolved",
    "OK"
  )
)</f>
        <v>OK</v>
      </c>
      <c r="V11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15" s="2" t="str">
        <f>IFERROR(TRIM(CLEAN(NPS_Data[[#This Row],[Ticket All Remarks]])),"")</f>
        <v>System Design course only teaches monolithic patterns. Microservices, event-driven architecture, and serverless barely mentioned. Need cloud-native design patterns. || Resolution: Expanding curriculum with 40 hours of distributed systems content</v>
      </c>
      <c r="X115" s="2" cm="1">
        <f t="array" aca="1" ref="X115" ca="1">IF(NPS_Data[[#This Row],[CleanRemark]]="","",
   SUMPRODUCT(CODE(MID(NPS_Data[[#This Row],[CleanRemark]],ROW(INDIRECT("1:"&amp;LEN(NPS_Data[[#This Row],[CleanRemark]]))),1))))</f>
        <v>23664</v>
      </c>
      <c r="Y115" s="2" t="str">
        <f>IF(COUNTIF(NPS_Data[Ticket No],NPS_Data[[#This Row],[Ticket No]])&gt;1,"Duplicate","OK")</f>
        <v>OK</v>
      </c>
      <c r="Z115" s="2" t="str">
        <f ca="1">IF(NPS_Data[[#This Row],[RemarkHash]]="","OK",
   IF(COUNTIF(NPS_Data[RemarkHash],NPS_Data[[#This Row],[RemarkHash]])&gt;1,"RepeatedRemark","OK"))</f>
        <v>RepeatedRemark</v>
      </c>
      <c r="AA115" s="17">
        <f>IF( AND( ISNUMBER(NPS_Data[[#This Row],[CreatedDateTime]]), ISNUMBER(NPS_Data[[#This Row],[ResolvedDateTime]]) ), (NPS_Data[[#This Row],[ResolvedDateTime]] - NPS_Data[[#This Row],[CreatedDateTime]]) * 24, 0 )</f>
        <v>195.00250000006054</v>
      </c>
      <c r="AB115" s="65" t="str">
        <f>IF(NOT(ISNA(NPS_Data[[#This Row],[CreatedDateTime]])),
   YEAR(NPS_Data[[#This Row],[CreatedDateTime]]) &amp; "-" &amp; TEXT(WEEKNUM(NPS_Data[[#This Row],[CreatedDateTime]],2),"00"),
   "")</f>
        <v>2025-35</v>
      </c>
      <c r="AC115" s="14" t="str">
        <f>IF(NOT(ISNA(NPS_Data[[#This Row],[CreatedDateTime]])), TEXT(NPS_Data[[#This Row],[CreatedDateTime]],"YYYY-MM"), "")</f>
        <v>2025-08</v>
      </c>
      <c r="AD115" s="14" t="str">
        <f>IF(NOT(ISNUMBER(NPS_Data[[#This Row],[ResolutionHours]])),"Open", IF(NPS_Data[[#This Row],[ResolutionHours]]&gt;72,"Breach","OK"))</f>
        <v>Breach</v>
      </c>
      <c r="AE115" s="14">
        <f>IF(AND(ISNUMBER(NPS_Data[[#This Row],[CreatedDateTime]]), ISNUMBER(NPS_Data[[#This Row],[ResolvedDateTime]])), 1, 0)</f>
        <v>1</v>
      </c>
      <c r="AF115" s="48" t="str">
        <f>IF(NOT(ISNA(NPS_Data[[#This Row],[CreatedDateTime]])), TEXT(NPS_Data[[#This Row],[CreatedDateTime]],"dddd"), "")</f>
        <v>Wednesday</v>
      </c>
    </row>
    <row r="116" spans="1:32" x14ac:dyDescent="0.25">
      <c r="A116" s="2" t="s">
        <v>717</v>
      </c>
      <c r="B116" s="2" t="s">
        <v>224</v>
      </c>
      <c r="C116" s="2" t="s">
        <v>718</v>
      </c>
      <c r="D11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45872.412094907406</v>
      </c>
      <c r="E116" s="2" t="s">
        <v>87</v>
      </c>
      <c r="H116"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16" s="2" t="s">
        <v>23</v>
      </c>
      <c r="J116" s="2" t="s">
        <v>23</v>
      </c>
      <c r="K116" s="2" t="s">
        <v>88</v>
      </c>
      <c r="L116" s="2" t="s">
        <v>719</v>
      </c>
      <c r="M116" s="2" t="s">
        <v>720</v>
      </c>
      <c r="N116" s="2" t="s">
        <v>721</v>
      </c>
      <c r="O116" s="2" t="s">
        <v>41</v>
      </c>
      <c r="P116" s="2" t="s">
        <v>132</v>
      </c>
      <c r="Q116" s="3">
        <v>3</v>
      </c>
      <c r="R116" s="2" t="s">
        <v>49</v>
      </c>
      <c r="S116" s="2" t="s">
        <v>133</v>
      </c>
      <c r="T116" s="2" t="str">
        <f>IF(OR(NPS_Data[[#This Row],[CreatedDateTime]]="",NPS_Data[[#This Row],[Assigned To]]="",NPS_Data[[#This Row],[Issue 2 - NPS]]="",NPS_Data[[#This Row],[Program Name]]=""),"Missing","OK")</f>
        <v>OK</v>
      </c>
      <c r="U116" s="2" t="str">
        <f>IF(
  AND(NPS_Data[[#This Row],[Status]]="Complete", OR(ISNA(NPS_Data[[#This Row],[ResolvedDateTime]]), ISBLANK(NPS_Data[[#This Row],[ResolvedDateTime]]))),
  "CompleteNoResolved",
  IF(
    AND(NPS_Data[[#This Row],[Status]]="Pending", NPS_Data[[#This Row],[Sub Status]]="Solved"),
    "PendingButSolved",
    "OK"
  )
)</f>
        <v>OK</v>
      </c>
      <c r="V11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16" s="2" t="str">
        <f>IFERROR(TRIM(CLEAN(NPS_Data[[#This Row],[Ticket All Remarks]])),"")</f>
        <v>Previous employment gap of 3 years due to child care responsibilities creates placement barrier. Returning mothers face additional discrimination. || Resolution: Partnered with diversity-focused companies supporting career restart initiatives</v>
      </c>
      <c r="X116" s="2" cm="1">
        <f t="array" aca="1" ref="X116" ca="1">IF(NPS_Data[[#This Row],[CleanRemark]]="","",
   SUMPRODUCT(CODE(MID(NPS_Data[[#This Row],[CleanRemark]],ROW(INDIRECT("1:"&amp;LEN(NPS_Data[[#This Row],[CleanRemark]]))),1))))</f>
        <v>23605</v>
      </c>
      <c r="Y116" s="2" t="str">
        <f>IF(COUNTIF(NPS_Data[Ticket No],NPS_Data[[#This Row],[Ticket No]])&gt;1,"Duplicate","OK")</f>
        <v>OK</v>
      </c>
      <c r="Z116" s="2" t="str">
        <f ca="1">IF(NPS_Data[[#This Row],[RemarkHash]]="","OK",
   IF(COUNTIF(NPS_Data[RemarkHash],NPS_Data[[#This Row],[RemarkHash]])&gt;1,"RepeatedRemark","OK"))</f>
        <v>RepeatedRemark</v>
      </c>
      <c r="AA116" s="17">
        <f>IF( AND( ISNUMBER(NPS_Data[[#This Row],[CreatedDateTime]]), ISNUMBER(NPS_Data[[#This Row],[ResolvedDateTime]]) ), (NPS_Data[[#This Row],[ResolvedDateTime]] - NPS_Data[[#This Row],[CreatedDateTime]]) * 24, 0 )</f>
        <v>0</v>
      </c>
      <c r="AB116" s="65" t="str">
        <f>IF(NOT(ISNA(NPS_Data[[#This Row],[CreatedDateTime]])),
   YEAR(NPS_Data[[#This Row],[CreatedDateTime]]) &amp; "-" &amp; TEXT(WEEKNUM(NPS_Data[[#This Row],[CreatedDateTime]],2),"00"),
   "")</f>
        <v>2025-31</v>
      </c>
      <c r="AC116" s="14" t="str">
        <f>IF(NOT(ISNA(NPS_Data[[#This Row],[CreatedDateTime]])), TEXT(NPS_Data[[#This Row],[CreatedDateTime]],"YYYY-MM"), "")</f>
        <v>2025-08</v>
      </c>
      <c r="AD116" s="14" t="str">
        <f>IF(NOT(ISNUMBER(NPS_Data[[#This Row],[ResolutionHours]])),"Open", IF(NPS_Data[[#This Row],[ResolutionHours]]&gt;72,"Breach","OK"))</f>
        <v>OK</v>
      </c>
      <c r="AE116" s="14">
        <f>IF(AND(ISNUMBER(NPS_Data[[#This Row],[CreatedDateTime]]), ISNUMBER(NPS_Data[[#This Row],[ResolvedDateTime]])), 1, 0)</f>
        <v>0</v>
      </c>
      <c r="AF116" s="48" t="str">
        <f>IF(NOT(ISNA(NPS_Data[[#This Row],[CreatedDateTime]])), TEXT(NPS_Data[[#This Row],[CreatedDateTime]],"dddd"), "")</f>
        <v>Sunday</v>
      </c>
    </row>
    <row r="117" spans="1:32" x14ac:dyDescent="0.25">
      <c r="A117" s="2" t="s">
        <v>722</v>
      </c>
      <c r="B117" s="2" t="s">
        <v>172</v>
      </c>
      <c r="C117" s="2" t="s">
        <v>723</v>
      </c>
      <c r="D11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45891.678611111114</v>
      </c>
      <c r="E117" s="2" t="s">
        <v>20</v>
      </c>
      <c r="F117" s="2" t="s">
        <v>33</v>
      </c>
      <c r="G117" s="2" t="s">
        <v>724</v>
      </c>
      <c r="H117"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45902.731608796297</v>
      </c>
      <c r="I117" s="2" t="s">
        <v>23</v>
      </c>
      <c r="J117" s="2" t="s">
        <v>23</v>
      </c>
      <c r="K117" s="2" t="s">
        <v>38</v>
      </c>
      <c r="L117" s="2" t="s">
        <v>725</v>
      </c>
      <c r="M117" s="2" t="s">
        <v>726</v>
      </c>
      <c r="N117" s="2" t="s">
        <v>727</v>
      </c>
      <c r="O117" s="2" t="s">
        <v>177</v>
      </c>
      <c r="P117" s="2" t="s">
        <v>158</v>
      </c>
      <c r="Q117" s="3">
        <v>9</v>
      </c>
      <c r="R117" s="2" t="s">
        <v>30</v>
      </c>
      <c r="S117" s="2" t="s">
        <v>31</v>
      </c>
      <c r="T117" s="2" t="str">
        <f>IF(OR(NPS_Data[[#This Row],[CreatedDateTime]]="",NPS_Data[[#This Row],[Assigned To]]="",NPS_Data[[#This Row],[Issue 2 - NPS]]="",NPS_Data[[#This Row],[Program Name]]=""),"Missing","OK")</f>
        <v>OK</v>
      </c>
      <c r="U117" s="2" t="str">
        <f>IF(
  AND(NPS_Data[[#This Row],[Status]]="Complete", OR(ISNA(NPS_Data[[#This Row],[ResolvedDateTime]]), ISBLANK(NPS_Data[[#This Row],[ResolvedDateTime]]))),
  "CompleteNoResolved",
  IF(
    AND(NPS_Data[[#This Row],[Status]]="Pending", NPS_Data[[#This Row],[Sub Status]]="Solved"),
    "PendingButSolved",
    "OK"
  )
)</f>
        <v>OK</v>
      </c>
      <c r="V11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17" s="2" t="str">
        <f>IFERROR(TRIM(CLEAN(NPS_Data[[#This Row],[Ticket All Remarks]])),"")</f>
        <v>Evening Academy Jul25 Intermediate starts at 7 PM when dinner time with family. Work-life balance getting affected due to late learning schedule. || Resolution: Introduced early evening slots (6-8 PM) based on demand</v>
      </c>
      <c r="X117" s="2" cm="1">
        <f t="array" aca="1" ref="X117" ca="1">IF(NPS_Data[[#This Row],[CleanRemark]]="","",
   SUMPRODUCT(CODE(MID(NPS_Data[[#This Row],[CleanRemark]],ROW(INDIRECT("1:"&amp;LEN(NPS_Data[[#This Row],[CleanRemark]]))),1))))</f>
        <v>19699</v>
      </c>
      <c r="Y117" s="2" t="str">
        <f>IF(COUNTIF(NPS_Data[Ticket No],NPS_Data[[#This Row],[Ticket No]])&gt;1,"Duplicate","OK")</f>
        <v>OK</v>
      </c>
      <c r="Z117" s="2" t="str">
        <f ca="1">IF(NPS_Data[[#This Row],[RemarkHash]]="","OK",
   IF(COUNTIF(NPS_Data[RemarkHash],NPS_Data[[#This Row],[RemarkHash]])&gt;1,"RepeatedRemark","OK"))</f>
        <v>OK</v>
      </c>
      <c r="AA117" s="17">
        <f>IF( AND( ISNUMBER(NPS_Data[[#This Row],[CreatedDateTime]]), ISNUMBER(NPS_Data[[#This Row],[ResolvedDateTime]]) ), (NPS_Data[[#This Row],[ResolvedDateTime]] - NPS_Data[[#This Row],[CreatedDateTime]]) * 24, 0 )</f>
        <v>265.27194444439374</v>
      </c>
      <c r="AB117" s="65" t="str">
        <f>IF(NOT(ISNA(NPS_Data[[#This Row],[CreatedDateTime]])),
   YEAR(NPS_Data[[#This Row],[CreatedDateTime]]) &amp; "-" &amp; TEXT(WEEKNUM(NPS_Data[[#This Row],[CreatedDateTime]],2),"00"),
   "")</f>
        <v>2025-34</v>
      </c>
      <c r="AC117" s="14" t="str">
        <f>IF(NOT(ISNA(NPS_Data[[#This Row],[CreatedDateTime]])), TEXT(NPS_Data[[#This Row],[CreatedDateTime]],"YYYY-MM"), "")</f>
        <v>2025-08</v>
      </c>
      <c r="AD117" s="14" t="str">
        <f>IF(NOT(ISNUMBER(NPS_Data[[#This Row],[ResolutionHours]])),"Open", IF(NPS_Data[[#This Row],[ResolutionHours]]&gt;72,"Breach","OK"))</f>
        <v>Breach</v>
      </c>
      <c r="AE117" s="14">
        <f>IF(AND(ISNUMBER(NPS_Data[[#This Row],[CreatedDateTime]]), ISNUMBER(NPS_Data[[#This Row],[ResolvedDateTime]])), 1, 0)</f>
        <v>1</v>
      </c>
      <c r="AF117" s="48" t="str">
        <f>IF(NOT(ISNA(NPS_Data[[#This Row],[CreatedDateTime]])), TEXT(NPS_Data[[#This Row],[CreatedDateTime]],"dddd"), "")</f>
        <v>Friday</v>
      </c>
    </row>
    <row r="118" spans="1:32" x14ac:dyDescent="0.25">
      <c r="A118" s="2" t="s">
        <v>728</v>
      </c>
      <c r="B118" s="2" t="s">
        <v>413</v>
      </c>
      <c r="C118" s="2" t="s">
        <v>729</v>
      </c>
      <c r="D11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45917.787962962961</v>
      </c>
      <c r="E118" s="2" t="s">
        <v>104</v>
      </c>
      <c r="F118" s="2" t="s">
        <v>105</v>
      </c>
      <c r="G118" s="2" t="s">
        <v>730</v>
      </c>
      <c r="H118"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45922.780416666668</v>
      </c>
      <c r="I118" s="2" t="s">
        <v>23</v>
      </c>
      <c r="J118" s="2" t="s">
        <v>23</v>
      </c>
      <c r="K118" s="2" t="s">
        <v>56</v>
      </c>
      <c r="L118" s="2" t="s">
        <v>731</v>
      </c>
      <c r="M118" s="2" t="s">
        <v>732</v>
      </c>
      <c r="N118" s="2" t="s">
        <v>733</v>
      </c>
      <c r="O118" s="2" t="s">
        <v>177</v>
      </c>
      <c r="P118" s="2" t="s">
        <v>60</v>
      </c>
      <c r="Q118" s="3">
        <v>1</v>
      </c>
      <c r="R118" s="2" t="s">
        <v>30</v>
      </c>
      <c r="S118" s="2" t="s">
        <v>31</v>
      </c>
      <c r="T118" s="2" t="str">
        <f>IF(OR(NPS_Data[[#This Row],[CreatedDateTime]]="",NPS_Data[[#This Row],[Assigned To]]="",NPS_Data[[#This Row],[Issue 2 - NPS]]="",NPS_Data[[#This Row],[Program Name]]=""),"Missing","OK")</f>
        <v>OK</v>
      </c>
      <c r="U118" s="2" t="str">
        <f>IF(
  AND(NPS_Data[[#This Row],[Status]]="Complete", OR(ISNA(NPS_Data[[#This Row],[ResolvedDateTime]]), ISBLANK(NPS_Data[[#This Row],[ResolvedDateTime]]))),
  "CompleteNoResolved",
  IF(
    AND(NPS_Data[[#This Row],[Status]]="Pending", NPS_Data[[#This Row],[Sub Status]]="Solved"),
    "PendingButSolved",
    "OK"
  )
)</f>
        <v>OK</v>
      </c>
      <c r="V11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18" s="2" t="str">
        <f>IFERROR(TRIM(CLEAN(NPS_Data[[#This Row],[Ticket All Remarks]])),"")</f>
        <v>Holiday classes scheduled during Diwali week without considering festival commitments. Attendance drops to 30% affecting Academy Jul25 Beginner momentum. || Resolution: Rescheduled holiday periods and created festival-friendly calendar</v>
      </c>
      <c r="X118" s="2" cm="1">
        <f t="array" aca="1" ref="X118" ca="1">IF(NPS_Data[[#This Row],[CleanRemark]]="","",
   SUMPRODUCT(CODE(MID(NPS_Data[[#This Row],[CleanRemark]],ROW(INDIRECT("1:"&amp;LEN(NPS_Data[[#This Row],[CleanRemark]]))),1))))</f>
        <v>22361</v>
      </c>
      <c r="Y118" s="2" t="str">
        <f>IF(COUNTIF(NPS_Data[Ticket No],NPS_Data[[#This Row],[Ticket No]])&gt;1,"Duplicate","OK")</f>
        <v>OK</v>
      </c>
      <c r="Z118" s="2" t="str">
        <f ca="1">IF(NPS_Data[[#This Row],[RemarkHash]]="","OK",
   IF(COUNTIF(NPS_Data[RemarkHash],NPS_Data[[#This Row],[RemarkHash]])&gt;1,"RepeatedRemark","OK"))</f>
        <v>OK</v>
      </c>
      <c r="AA118" s="17">
        <f>IF( AND( ISNUMBER(NPS_Data[[#This Row],[CreatedDateTime]]), ISNUMBER(NPS_Data[[#This Row],[ResolvedDateTime]]) ), (NPS_Data[[#This Row],[ResolvedDateTime]] - NPS_Data[[#This Row],[CreatedDateTime]]) * 24, 0 )</f>
        <v>119.81888888898538</v>
      </c>
      <c r="AB118" s="65" t="str">
        <f>IF(NOT(ISNA(NPS_Data[[#This Row],[CreatedDateTime]])),
   YEAR(NPS_Data[[#This Row],[CreatedDateTime]]) &amp; "-" &amp; TEXT(WEEKNUM(NPS_Data[[#This Row],[CreatedDateTime]],2),"00"),
   "")</f>
        <v>2025-38</v>
      </c>
      <c r="AC118" s="14" t="str">
        <f>IF(NOT(ISNA(NPS_Data[[#This Row],[CreatedDateTime]])), TEXT(NPS_Data[[#This Row],[CreatedDateTime]],"YYYY-MM"), "")</f>
        <v>2025-09</v>
      </c>
      <c r="AD118" s="14" t="str">
        <f>IF(NOT(ISNUMBER(NPS_Data[[#This Row],[ResolutionHours]])),"Open", IF(NPS_Data[[#This Row],[ResolutionHours]]&gt;72,"Breach","OK"))</f>
        <v>Breach</v>
      </c>
      <c r="AE118" s="14">
        <f>IF(AND(ISNUMBER(NPS_Data[[#This Row],[CreatedDateTime]]), ISNUMBER(NPS_Data[[#This Row],[ResolvedDateTime]])), 1, 0)</f>
        <v>1</v>
      </c>
      <c r="AF118" s="48" t="str">
        <f>IF(NOT(ISNA(NPS_Data[[#This Row],[CreatedDateTime]])), TEXT(NPS_Data[[#This Row],[CreatedDateTime]],"dddd"), "")</f>
        <v>Wednesday</v>
      </c>
    </row>
    <row r="119" spans="1:32" x14ac:dyDescent="0.25">
      <c r="A119" s="2" t="s">
        <v>734</v>
      </c>
      <c r="B119" s="2" t="s">
        <v>735</v>
      </c>
      <c r="C119" s="2" t="s">
        <v>736</v>
      </c>
      <c r="D11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45876.558506944442</v>
      </c>
      <c r="E119" s="2" t="s">
        <v>87</v>
      </c>
      <c r="F119" s="2" t="s">
        <v>267</v>
      </c>
      <c r="G119" s="2" t="s">
        <v>737</v>
      </c>
      <c r="H119"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45879.681238425925</v>
      </c>
      <c r="I119" s="2" t="s">
        <v>23</v>
      </c>
      <c r="J119" s="2" t="s">
        <v>23</v>
      </c>
      <c r="K119" s="2" t="s">
        <v>88</v>
      </c>
      <c r="L119" s="2" t="s">
        <v>738</v>
      </c>
      <c r="M119" s="2" t="s">
        <v>739</v>
      </c>
      <c r="N119" s="2" t="s">
        <v>188</v>
      </c>
      <c r="O119" s="2" t="s">
        <v>177</v>
      </c>
      <c r="P119" s="2" t="s">
        <v>189</v>
      </c>
      <c r="Q119" s="3">
        <v>1</v>
      </c>
      <c r="R119" s="2" t="s">
        <v>30</v>
      </c>
      <c r="S119" s="2" t="s">
        <v>31</v>
      </c>
      <c r="T119" s="2" t="str">
        <f>IF(OR(NPS_Data[[#This Row],[CreatedDateTime]]="",NPS_Data[[#This Row],[Assigned To]]="",NPS_Data[[#This Row],[Issue 2 - NPS]]="",NPS_Data[[#This Row],[Program Name]]=""),"Missing","OK")</f>
        <v>OK</v>
      </c>
      <c r="U119" s="2" t="str">
        <f>IF(
  AND(NPS_Data[[#This Row],[Status]]="Complete", OR(ISNA(NPS_Data[[#This Row],[ResolvedDateTime]]), ISBLANK(NPS_Data[[#This Row],[ResolvedDateTime]]))),
  "CompleteNoResolved",
  IF(
    AND(NPS_Data[[#This Row],[Status]]="Pending", NPS_Data[[#This Row],[Sub Status]]="Solved"),
    "PendingButSolved",
    "OK"
  )
)</f>
        <v>OK</v>
      </c>
      <c r="V11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19" s="2" t="str">
        <f>IFERROR(TRIM(CLEAN(NPS_Data[[#This Row],[Ticket All Remarks]])),"")</f>
        <v>Multiple interview rounds cleared but final selection goes to internal referrals. External candidates seem disadvantaged despite equal performance. || Resolution: Expanded alumni network for referral opportunities and insider advocacy</v>
      </c>
      <c r="X119" s="2" cm="1">
        <f t="array" aca="1" ref="X119" ca="1">IF(NPS_Data[[#This Row],[CleanRemark]]="","",
   SUMPRODUCT(CODE(MID(NPS_Data[[#This Row],[CleanRemark]],ROW(INDIRECT("1:"&amp;LEN(NPS_Data[[#This Row],[CleanRemark]]))),1))))</f>
        <v>22764</v>
      </c>
      <c r="Y119" s="2" t="str">
        <f>IF(COUNTIF(NPS_Data[Ticket No],NPS_Data[[#This Row],[Ticket No]])&gt;1,"Duplicate","OK")</f>
        <v>OK</v>
      </c>
      <c r="Z119" s="2" t="str">
        <f ca="1">IF(NPS_Data[[#This Row],[RemarkHash]]="","OK",
   IF(COUNTIF(NPS_Data[RemarkHash],NPS_Data[[#This Row],[RemarkHash]])&gt;1,"RepeatedRemark","OK"))</f>
        <v>RepeatedRemark</v>
      </c>
      <c r="AA119" s="17">
        <f>IF( AND( ISNUMBER(NPS_Data[[#This Row],[CreatedDateTime]]), ISNUMBER(NPS_Data[[#This Row],[ResolvedDateTime]]) ), (NPS_Data[[#This Row],[ResolvedDateTime]] - NPS_Data[[#This Row],[CreatedDateTime]]) * 24, 0 )</f>
        <v>74.945555555575993</v>
      </c>
      <c r="AB119" s="65" t="str">
        <f>IF(NOT(ISNA(NPS_Data[[#This Row],[CreatedDateTime]])),
   YEAR(NPS_Data[[#This Row],[CreatedDateTime]]) &amp; "-" &amp; TEXT(WEEKNUM(NPS_Data[[#This Row],[CreatedDateTime]],2),"00"),
   "")</f>
        <v>2025-32</v>
      </c>
      <c r="AC119" s="14" t="str">
        <f>IF(NOT(ISNA(NPS_Data[[#This Row],[CreatedDateTime]])), TEXT(NPS_Data[[#This Row],[CreatedDateTime]],"YYYY-MM"), "")</f>
        <v>2025-08</v>
      </c>
      <c r="AD119" s="14" t="str">
        <f>IF(NOT(ISNUMBER(NPS_Data[[#This Row],[ResolutionHours]])),"Open", IF(NPS_Data[[#This Row],[ResolutionHours]]&gt;72,"Breach","OK"))</f>
        <v>Breach</v>
      </c>
      <c r="AE119" s="14">
        <f>IF(AND(ISNUMBER(NPS_Data[[#This Row],[CreatedDateTime]]), ISNUMBER(NPS_Data[[#This Row],[ResolvedDateTime]])), 1, 0)</f>
        <v>1</v>
      </c>
      <c r="AF119" s="48" t="str">
        <f>IF(NOT(ISNA(NPS_Data[[#This Row],[CreatedDateTime]])), TEXT(NPS_Data[[#This Row],[CreatedDateTime]],"dddd"), "")</f>
        <v>Thursday</v>
      </c>
    </row>
    <row r="120" spans="1:32" x14ac:dyDescent="0.25">
      <c r="A120" s="2" t="s">
        <v>740</v>
      </c>
      <c r="B120" s="2" t="s">
        <v>111</v>
      </c>
      <c r="C120" s="2" t="s">
        <v>741</v>
      </c>
      <c r="D12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45870.548900462964</v>
      </c>
      <c r="E120" s="2" t="s">
        <v>80</v>
      </c>
      <c r="H120"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20" s="2" t="s">
        <v>23</v>
      </c>
      <c r="J120" s="2" t="s">
        <v>23</v>
      </c>
      <c r="K120" s="2" t="s">
        <v>88</v>
      </c>
      <c r="L120" s="2" t="s">
        <v>742</v>
      </c>
      <c r="M120" s="2" t="s">
        <v>743</v>
      </c>
      <c r="N120" s="2" t="s">
        <v>744</v>
      </c>
      <c r="O120" s="2" t="s">
        <v>28</v>
      </c>
      <c r="P120" s="2" t="s">
        <v>92</v>
      </c>
      <c r="Q120" s="3">
        <v>2</v>
      </c>
      <c r="R120" s="2" t="s">
        <v>30</v>
      </c>
      <c r="S120" s="2" t="s">
        <v>31</v>
      </c>
      <c r="T120" s="2" t="str">
        <f>IF(OR(NPS_Data[[#This Row],[CreatedDateTime]]="",NPS_Data[[#This Row],[Assigned To]]="",NPS_Data[[#This Row],[Issue 2 - NPS]]="",NPS_Data[[#This Row],[Program Name]]=""),"Missing","OK")</f>
        <v>OK</v>
      </c>
      <c r="U120" s="2" t="str">
        <f>IF(
  AND(NPS_Data[[#This Row],[Status]]="Complete", OR(ISNA(NPS_Data[[#This Row],[ResolvedDateTime]]), ISBLANK(NPS_Data[[#This Row],[ResolvedDateTime]]))),
  "CompleteNoResolved",
  IF(
    AND(NPS_Data[[#This Row],[Status]]="Pending", NPS_Data[[#This Row],[Sub Status]]="Solved"),
    "PendingButSolved",
    "OK"
  )
)</f>
        <v>OK</v>
      </c>
      <c r="V12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20" s="2" t="str">
        <f>IFERROR(TRIM(CLEAN(NPS_Data[[#This Row],[Ticket All Remarks]])),"")</f>
        <v>Considering freelancing transition after 8 years in corporate. Need guidance on building client base, pricing projects, and managing business aspects. || Resolution: Introduced to successful freelancer mentor and provided business setup guidance</v>
      </c>
      <c r="X120" s="2" cm="1">
        <f t="array" aca="1" ref="X120" ca="1">IF(NPS_Data[[#This Row],[CleanRemark]]="","",
   SUMPRODUCT(CODE(MID(NPS_Data[[#This Row],[CleanRemark]],ROW(INDIRECT("1:"&amp;LEN(NPS_Data[[#This Row],[CleanRemark]]))),1))))</f>
        <v>23492</v>
      </c>
      <c r="Y120" s="2" t="str">
        <f>IF(COUNTIF(NPS_Data[Ticket No],NPS_Data[[#This Row],[Ticket No]])&gt;1,"Duplicate","OK")</f>
        <v>OK</v>
      </c>
      <c r="Z120" s="2" t="str">
        <f ca="1">IF(NPS_Data[[#This Row],[RemarkHash]]="","OK",
   IF(COUNTIF(NPS_Data[RemarkHash],NPS_Data[[#This Row],[RemarkHash]])&gt;1,"RepeatedRemark","OK"))</f>
        <v>RepeatedRemark</v>
      </c>
      <c r="AA120" s="17">
        <f>IF( AND( ISNUMBER(NPS_Data[[#This Row],[CreatedDateTime]]), ISNUMBER(NPS_Data[[#This Row],[ResolvedDateTime]]) ), (NPS_Data[[#This Row],[ResolvedDateTime]] - NPS_Data[[#This Row],[CreatedDateTime]]) * 24, 0 )</f>
        <v>0</v>
      </c>
      <c r="AB120" s="65" t="str">
        <f>IF(NOT(ISNA(NPS_Data[[#This Row],[CreatedDateTime]])),
   YEAR(NPS_Data[[#This Row],[CreatedDateTime]]) &amp; "-" &amp; TEXT(WEEKNUM(NPS_Data[[#This Row],[CreatedDateTime]],2),"00"),
   "")</f>
        <v>2025-31</v>
      </c>
      <c r="AC120" s="14" t="str">
        <f>IF(NOT(ISNA(NPS_Data[[#This Row],[CreatedDateTime]])), TEXT(NPS_Data[[#This Row],[CreatedDateTime]],"YYYY-MM"), "")</f>
        <v>2025-08</v>
      </c>
      <c r="AD120" s="14" t="str">
        <f>IF(NOT(ISNUMBER(NPS_Data[[#This Row],[ResolutionHours]])),"Open", IF(NPS_Data[[#This Row],[ResolutionHours]]&gt;72,"Breach","OK"))</f>
        <v>OK</v>
      </c>
      <c r="AE120" s="14">
        <f>IF(AND(ISNUMBER(NPS_Data[[#This Row],[CreatedDateTime]]), ISNUMBER(NPS_Data[[#This Row],[ResolvedDateTime]])), 1, 0)</f>
        <v>0</v>
      </c>
      <c r="AF120" s="48" t="str">
        <f>IF(NOT(ISNA(NPS_Data[[#This Row],[CreatedDateTime]])), TEXT(NPS_Data[[#This Row],[CreatedDateTime]],"dddd"), "")</f>
        <v>Friday</v>
      </c>
    </row>
    <row r="121" spans="1:32" x14ac:dyDescent="0.25">
      <c r="A121" s="2" t="s">
        <v>745</v>
      </c>
      <c r="B121" s="2" t="s">
        <v>226</v>
      </c>
      <c r="C121" s="2" t="s">
        <v>746</v>
      </c>
      <c r="D12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45884.859988425924</v>
      </c>
      <c r="E121" s="2" t="s">
        <v>104</v>
      </c>
      <c r="H121"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21" s="2" t="s">
        <v>23</v>
      </c>
      <c r="J121" s="2" t="s">
        <v>23</v>
      </c>
      <c r="K121" s="2" t="s">
        <v>38</v>
      </c>
      <c r="L121" s="2" t="s">
        <v>747</v>
      </c>
      <c r="M121" s="2" t="s">
        <v>748</v>
      </c>
      <c r="N121" s="2" t="s">
        <v>749</v>
      </c>
      <c r="O121" s="2" t="s">
        <v>177</v>
      </c>
      <c r="P121" s="2" t="s">
        <v>158</v>
      </c>
      <c r="Q121" s="3">
        <v>7</v>
      </c>
      <c r="R121" s="2" t="s">
        <v>49</v>
      </c>
      <c r="S121" s="2" t="s">
        <v>116</v>
      </c>
      <c r="T121" s="2" t="str">
        <f>IF(OR(NPS_Data[[#This Row],[CreatedDateTime]]="",NPS_Data[[#This Row],[Assigned To]]="",NPS_Data[[#This Row],[Issue 2 - NPS]]="",NPS_Data[[#This Row],[Program Name]]=""),"Missing","OK")</f>
        <v>OK</v>
      </c>
      <c r="U121" s="2" t="str">
        <f>IF(
  AND(NPS_Data[[#This Row],[Status]]="Complete", OR(ISNA(NPS_Data[[#This Row],[ResolvedDateTime]]), ISBLANK(NPS_Data[[#This Row],[ResolvedDateTime]]))),
  "CompleteNoResolved",
  IF(
    AND(NPS_Data[[#This Row],[Status]]="Pending", NPS_Data[[#This Row],[Sub Status]]="Solved"),
    "PendingButSolved",
    "OK"
  )
)</f>
        <v>OK</v>
      </c>
      <c r="V12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21" s="2" t="str">
        <f>IFERROR(TRIM(CLEAN(NPS_Data[[#This Row],[Ticket All Remarks]])),"")</f>
        <v>Weekend AIML Aug25 timing (10 AM - 2 PM) conflicts with family time. Children's activities and household responsibilities suffer due to class schedule. || Resolution: Created flexible weekend options with shorter session formats</v>
      </c>
      <c r="X121" s="2" cm="1">
        <f t="array" aca="1" ref="X121" ca="1">IF(NPS_Data[[#This Row],[CleanRemark]]="","",
   SUMPRODUCT(CODE(MID(NPS_Data[[#This Row],[CleanRemark]],ROW(INDIRECT("1:"&amp;LEN(NPS_Data[[#This Row],[CleanRemark]]))),1))))</f>
        <v>21028</v>
      </c>
      <c r="Y121" s="2" t="str">
        <f>IF(COUNTIF(NPS_Data[Ticket No],NPS_Data[[#This Row],[Ticket No]])&gt;1,"Duplicate","OK")</f>
        <v>OK</v>
      </c>
      <c r="Z121" s="2" t="str">
        <f ca="1">IF(NPS_Data[[#This Row],[RemarkHash]]="","OK",
   IF(COUNTIF(NPS_Data[RemarkHash],NPS_Data[[#This Row],[RemarkHash]])&gt;1,"RepeatedRemark","OK"))</f>
        <v>RepeatedRemark</v>
      </c>
      <c r="AA121" s="17">
        <f>IF( AND( ISNUMBER(NPS_Data[[#This Row],[CreatedDateTime]]), ISNUMBER(NPS_Data[[#This Row],[ResolvedDateTime]]) ), (NPS_Data[[#This Row],[ResolvedDateTime]] - NPS_Data[[#This Row],[CreatedDateTime]]) * 24, 0 )</f>
        <v>0</v>
      </c>
      <c r="AB121" s="65" t="str">
        <f>IF(NOT(ISNA(NPS_Data[[#This Row],[CreatedDateTime]])),
   YEAR(NPS_Data[[#This Row],[CreatedDateTime]]) &amp; "-" &amp; TEXT(WEEKNUM(NPS_Data[[#This Row],[CreatedDateTime]],2),"00"),
   "")</f>
        <v>2025-33</v>
      </c>
      <c r="AC121" s="14" t="str">
        <f>IF(NOT(ISNA(NPS_Data[[#This Row],[CreatedDateTime]])), TEXT(NPS_Data[[#This Row],[CreatedDateTime]],"YYYY-MM"), "")</f>
        <v>2025-08</v>
      </c>
      <c r="AD121" s="14" t="str">
        <f>IF(NOT(ISNUMBER(NPS_Data[[#This Row],[ResolutionHours]])),"Open", IF(NPS_Data[[#This Row],[ResolutionHours]]&gt;72,"Breach","OK"))</f>
        <v>OK</v>
      </c>
      <c r="AE121" s="14">
        <f>IF(AND(ISNUMBER(NPS_Data[[#This Row],[CreatedDateTime]]), ISNUMBER(NPS_Data[[#This Row],[ResolvedDateTime]])), 1, 0)</f>
        <v>0</v>
      </c>
      <c r="AF121" s="48" t="str">
        <f>IF(NOT(ISNA(NPS_Data[[#This Row],[CreatedDateTime]])), TEXT(NPS_Data[[#This Row],[CreatedDateTime]],"dddd"), "")</f>
        <v>Friday</v>
      </c>
    </row>
    <row r="122" spans="1:32" x14ac:dyDescent="0.25">
      <c r="A122" s="2" t="s">
        <v>750</v>
      </c>
      <c r="B122" s="2" t="s">
        <v>372</v>
      </c>
      <c r="C122" s="2" t="s">
        <v>751</v>
      </c>
      <c r="D12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45920.412210648145</v>
      </c>
      <c r="E122" s="2" t="s">
        <v>80</v>
      </c>
      <c r="F122" s="2" t="s">
        <v>519</v>
      </c>
      <c r="G122" s="2" t="s">
        <v>752</v>
      </c>
      <c r="H122"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45928.739849537036</v>
      </c>
      <c r="I122" s="2" t="s">
        <v>23</v>
      </c>
      <c r="J122" s="2" t="s">
        <v>23</v>
      </c>
      <c r="K122" s="2" t="s">
        <v>56</v>
      </c>
      <c r="L122" s="2" t="s">
        <v>753</v>
      </c>
      <c r="M122" s="2" t="s">
        <v>754</v>
      </c>
      <c r="N122" s="2" t="s">
        <v>124</v>
      </c>
      <c r="O122" s="2" t="s">
        <v>28</v>
      </c>
      <c r="P122" s="2" t="s">
        <v>125</v>
      </c>
      <c r="Q122" s="3">
        <v>2</v>
      </c>
      <c r="R122" s="2" t="s">
        <v>30</v>
      </c>
      <c r="S122" s="2" t="s">
        <v>31</v>
      </c>
      <c r="T122" s="2" t="str">
        <f>IF(OR(NPS_Data[[#This Row],[CreatedDateTime]]="",NPS_Data[[#This Row],[Assigned To]]="",NPS_Data[[#This Row],[Issue 2 - NPS]]="",NPS_Data[[#This Row],[Program Name]]=""),"Missing","OK")</f>
        <v>OK</v>
      </c>
      <c r="U122" s="2" t="str">
        <f>IF(
  AND(NPS_Data[[#This Row],[Status]]="Complete", OR(ISNA(NPS_Data[[#This Row],[ResolvedDateTime]]), ISBLANK(NPS_Data[[#This Row],[ResolvedDateTime]]))),
  "CompleteNoResolved",
  IF(
    AND(NPS_Data[[#This Row],[Status]]="Pending", NPS_Data[[#This Row],[Sub Status]]="Solved"),
    "PendingButSolved",
    "OK"
  )
)</f>
        <v>OK</v>
      </c>
      <c r="V12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22" s="2" t="str">
        <f>IFERROR(TRIM(CLEAN(NPS_Data[[#This Row],[Ticket All Remarks]])),"")</f>
        <v>Multiple TAs provide conflicting solutions for same problem. Creates confusion about best practices and correct approach for implementation. || Resolution: Implemented TA training program and standardized solution guidelines</v>
      </c>
      <c r="X122" s="2" cm="1">
        <f t="array" aca="1" ref="X122" ca="1">IF(NPS_Data[[#This Row],[CleanRemark]]="","",
   SUMPRODUCT(CODE(MID(NPS_Data[[#This Row],[CleanRemark]],ROW(INDIRECT("1:"&amp;LEN(NPS_Data[[#This Row],[CleanRemark]]))),1))))</f>
        <v>21698</v>
      </c>
      <c r="Y122" s="2" t="str">
        <f>IF(COUNTIF(NPS_Data[Ticket No],NPS_Data[[#This Row],[Ticket No]])&gt;1,"Duplicate","OK")</f>
        <v>OK</v>
      </c>
      <c r="Z122" s="2" t="str">
        <f ca="1">IF(NPS_Data[[#This Row],[RemarkHash]]="","OK",
   IF(COUNTIF(NPS_Data[RemarkHash],NPS_Data[[#This Row],[RemarkHash]])&gt;1,"RepeatedRemark","OK"))</f>
        <v>RepeatedRemark</v>
      </c>
      <c r="AA122" s="17">
        <f>IF( AND( ISNUMBER(NPS_Data[[#This Row],[CreatedDateTime]]), ISNUMBER(NPS_Data[[#This Row],[ResolvedDateTime]]) ), (NPS_Data[[#This Row],[ResolvedDateTime]] - NPS_Data[[#This Row],[CreatedDateTime]]) * 24, 0 )</f>
        <v>199.86333333340008</v>
      </c>
      <c r="AB122" s="65" t="str">
        <f>IF(NOT(ISNA(NPS_Data[[#This Row],[CreatedDateTime]])),
   YEAR(NPS_Data[[#This Row],[CreatedDateTime]]) &amp; "-" &amp; TEXT(WEEKNUM(NPS_Data[[#This Row],[CreatedDateTime]],2),"00"),
   "")</f>
        <v>2025-38</v>
      </c>
      <c r="AC122" s="14" t="str">
        <f>IF(NOT(ISNA(NPS_Data[[#This Row],[CreatedDateTime]])), TEXT(NPS_Data[[#This Row],[CreatedDateTime]],"YYYY-MM"), "")</f>
        <v>2025-09</v>
      </c>
      <c r="AD122" s="14" t="str">
        <f>IF(NOT(ISNUMBER(NPS_Data[[#This Row],[ResolutionHours]])),"Open", IF(NPS_Data[[#This Row],[ResolutionHours]]&gt;72,"Breach","OK"))</f>
        <v>Breach</v>
      </c>
      <c r="AE122" s="14">
        <f>IF(AND(ISNUMBER(NPS_Data[[#This Row],[CreatedDateTime]]), ISNUMBER(NPS_Data[[#This Row],[ResolvedDateTime]])), 1, 0)</f>
        <v>1</v>
      </c>
      <c r="AF122" s="48" t="str">
        <f>IF(NOT(ISNA(NPS_Data[[#This Row],[CreatedDateTime]])), TEXT(NPS_Data[[#This Row],[CreatedDateTime]],"dddd"), "")</f>
        <v>Saturday</v>
      </c>
    </row>
    <row r="123" spans="1:32" x14ac:dyDescent="0.25">
      <c r="A123" s="2" t="s">
        <v>755</v>
      </c>
      <c r="B123" s="2" t="s">
        <v>301</v>
      </c>
      <c r="C123" s="2" t="s">
        <v>756</v>
      </c>
      <c r="D12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45898.672592592593</v>
      </c>
      <c r="E123" s="2" t="s">
        <v>104</v>
      </c>
      <c r="F123" s="2" t="s">
        <v>33</v>
      </c>
      <c r="G123" s="2" t="s">
        <v>757</v>
      </c>
      <c r="H123"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45902.771585648145</v>
      </c>
      <c r="I123" s="2" t="s">
        <v>23</v>
      </c>
      <c r="J123" s="2" t="s">
        <v>23</v>
      </c>
      <c r="K123" s="2" t="s">
        <v>88</v>
      </c>
      <c r="L123" s="2" t="s">
        <v>758</v>
      </c>
      <c r="M123" s="2" t="s">
        <v>759</v>
      </c>
      <c r="N123" s="2" t="s">
        <v>633</v>
      </c>
      <c r="O123" s="2" t="s">
        <v>41</v>
      </c>
      <c r="P123" s="2" t="s">
        <v>132</v>
      </c>
      <c r="Q123" s="3">
        <v>1</v>
      </c>
      <c r="R123" s="2" t="s">
        <v>30</v>
      </c>
      <c r="S123" s="2" t="s">
        <v>31</v>
      </c>
      <c r="T123" s="2" t="str">
        <f>IF(OR(NPS_Data[[#This Row],[CreatedDateTime]]="",NPS_Data[[#This Row],[Assigned To]]="",NPS_Data[[#This Row],[Issue 2 - NPS]]="",NPS_Data[[#This Row],[Program Name]]=""),"Missing","OK")</f>
        <v>OK</v>
      </c>
      <c r="U123" s="2" t="str">
        <f>IF(
  AND(NPS_Data[[#This Row],[Status]]="Complete", OR(ISNA(NPS_Data[[#This Row],[ResolvedDateTime]]), ISBLANK(NPS_Data[[#This Row],[ResolvedDateTime]]))),
  "CompleteNoResolved",
  IF(
    AND(NPS_Data[[#This Row],[Status]]="Pending", NPS_Data[[#This Row],[Sub Status]]="Solved"),
    "PendingButSolved",
    "OK"
  )
)</f>
        <v>OK</v>
      </c>
      <c r="V12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23" s="2" t="str">
        <f>IFERROR(TRIM(CLEAN(NPS_Data[[#This Row],[Ticket All Remarks]])),"")</f>
        <v>Placement team requires 2+ years experience but won't help freshers. Catch-22 situation where experience needed for placement but placement needed for experience. || Resolution: Launched fresh graduate placement track with entry-level focused companies</v>
      </c>
      <c r="X123" s="2" cm="1">
        <f t="array" aca="1" ref="X123" ca="1">IF(NPS_Data[[#This Row],[CleanRemark]]="","",
   SUMPRODUCT(CODE(MID(NPS_Data[[#This Row],[CleanRemark]],ROW(INDIRECT("1:"&amp;LEN(NPS_Data[[#This Row],[CleanRemark]]))),1))))</f>
        <v>23910</v>
      </c>
      <c r="Y123" s="2" t="str">
        <f>IF(COUNTIF(NPS_Data[Ticket No],NPS_Data[[#This Row],[Ticket No]])&gt;1,"Duplicate","OK")</f>
        <v>OK</v>
      </c>
      <c r="Z123" s="2" t="str">
        <f ca="1">IF(NPS_Data[[#This Row],[RemarkHash]]="","OK",
   IF(COUNTIF(NPS_Data[RemarkHash],NPS_Data[[#This Row],[RemarkHash]])&gt;1,"RepeatedRemark","OK"))</f>
        <v>RepeatedRemark</v>
      </c>
      <c r="AA123" s="17">
        <f>IF( AND( ISNUMBER(NPS_Data[[#This Row],[CreatedDateTime]]), ISNUMBER(NPS_Data[[#This Row],[ResolvedDateTime]]) ), (NPS_Data[[#This Row],[ResolvedDateTime]] - NPS_Data[[#This Row],[CreatedDateTime]]) * 24, 0 )</f>
        <v>98.375833333237097</v>
      </c>
      <c r="AB123" s="65" t="str">
        <f>IF(NOT(ISNA(NPS_Data[[#This Row],[CreatedDateTime]])),
   YEAR(NPS_Data[[#This Row],[CreatedDateTime]]) &amp; "-" &amp; TEXT(WEEKNUM(NPS_Data[[#This Row],[CreatedDateTime]],2),"00"),
   "")</f>
        <v>2025-35</v>
      </c>
      <c r="AC123" s="14" t="str">
        <f>IF(NOT(ISNA(NPS_Data[[#This Row],[CreatedDateTime]])), TEXT(NPS_Data[[#This Row],[CreatedDateTime]],"YYYY-MM"), "")</f>
        <v>2025-08</v>
      </c>
      <c r="AD123" s="14" t="str">
        <f>IF(NOT(ISNUMBER(NPS_Data[[#This Row],[ResolutionHours]])),"Open", IF(NPS_Data[[#This Row],[ResolutionHours]]&gt;72,"Breach","OK"))</f>
        <v>Breach</v>
      </c>
      <c r="AE123" s="14">
        <f>IF(AND(ISNUMBER(NPS_Data[[#This Row],[CreatedDateTime]]), ISNUMBER(NPS_Data[[#This Row],[ResolvedDateTime]])), 1, 0)</f>
        <v>1</v>
      </c>
      <c r="AF123" s="48" t="str">
        <f>IF(NOT(ISNA(NPS_Data[[#This Row],[CreatedDateTime]])), TEXT(NPS_Data[[#This Row],[CreatedDateTime]],"dddd"), "")</f>
        <v>Friday</v>
      </c>
    </row>
    <row r="124" spans="1:32" x14ac:dyDescent="0.25">
      <c r="A124" s="2" t="s">
        <v>760</v>
      </c>
      <c r="B124" s="2" t="s">
        <v>63</v>
      </c>
      <c r="C124" s="2" t="s">
        <v>761</v>
      </c>
      <c r="D12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45921.752800925926</v>
      </c>
      <c r="E124" s="2" t="s">
        <v>104</v>
      </c>
      <c r="F124" s="2" t="s">
        <v>105</v>
      </c>
      <c r="G124" s="2" t="s">
        <v>762</v>
      </c>
      <c r="H124"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45922.636712962965</v>
      </c>
      <c r="I124" s="2" t="s">
        <v>23</v>
      </c>
      <c r="J124" s="2" t="s">
        <v>23</v>
      </c>
      <c r="K124" s="2" t="s">
        <v>88</v>
      </c>
      <c r="L124" s="2" t="s">
        <v>763</v>
      </c>
      <c r="M124" s="2" t="s">
        <v>764</v>
      </c>
      <c r="N124" s="2" t="s">
        <v>131</v>
      </c>
      <c r="O124" s="2" t="s">
        <v>28</v>
      </c>
      <c r="P124" s="2" t="s">
        <v>132</v>
      </c>
      <c r="Q124" s="3">
        <v>4</v>
      </c>
      <c r="R124" s="2" t="s">
        <v>30</v>
      </c>
      <c r="S124" s="2" t="s">
        <v>31</v>
      </c>
      <c r="T124" s="2" t="str">
        <f>IF(OR(NPS_Data[[#This Row],[CreatedDateTime]]="",NPS_Data[[#This Row],[Assigned To]]="",NPS_Data[[#This Row],[Issue 2 - NPS]]="",NPS_Data[[#This Row],[Program Name]]=""),"Missing","OK")</f>
        <v>OK</v>
      </c>
      <c r="U124" s="2" t="str">
        <f>IF(
  AND(NPS_Data[[#This Row],[Status]]="Complete", OR(ISNA(NPS_Data[[#This Row],[ResolvedDateTime]]), ISBLANK(NPS_Data[[#This Row],[ResolvedDateTime]]))),
  "CompleteNoResolved",
  IF(
    AND(NPS_Data[[#This Row],[Status]]="Pending", NPS_Data[[#This Row],[Sub Status]]="Solved"),
    "PendingButSolved",
    "OK"
  )
)</f>
        <v>OK</v>
      </c>
      <c r="V12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24" s="2" t="str">
        <f>IFERROR(TRIM(CLEAN(NPS_Data[[#This Row],[Ticket All Remarks]])),"")</f>
        <v>Placement eligibility criteria require 70%+ in graduation but scored 68% due to family financial crisis during college. Seems unfair exclusion. || Resolution: Reviewed eligibility criteria and created exception process for genuine hardship cases</v>
      </c>
      <c r="X124" s="2" cm="1">
        <f t="array" aca="1" ref="X124" ca="1">IF(NPS_Data[[#This Row],[CleanRemark]]="","",
   SUMPRODUCT(CODE(MID(NPS_Data[[#This Row],[CleanRemark]],ROW(INDIRECT("1:"&amp;LEN(NPS_Data[[#This Row],[CleanRemark]]))),1))))</f>
        <v>23171</v>
      </c>
      <c r="Y124" s="2" t="str">
        <f>IF(COUNTIF(NPS_Data[Ticket No],NPS_Data[[#This Row],[Ticket No]])&gt;1,"Duplicate","OK")</f>
        <v>OK</v>
      </c>
      <c r="Z124" s="2" t="str">
        <f ca="1">IF(NPS_Data[[#This Row],[RemarkHash]]="","OK",
   IF(COUNTIF(NPS_Data[RemarkHash],NPS_Data[[#This Row],[RemarkHash]])&gt;1,"RepeatedRemark","OK"))</f>
        <v>RepeatedRemark</v>
      </c>
      <c r="AA124" s="17">
        <f>IF( AND( ISNUMBER(NPS_Data[[#This Row],[CreatedDateTime]]), ISNUMBER(NPS_Data[[#This Row],[ResolvedDateTime]]) ), (NPS_Data[[#This Row],[ResolvedDateTime]] - NPS_Data[[#This Row],[CreatedDateTime]]) * 24, 0 )</f>
        <v>21.213888888945803</v>
      </c>
      <c r="AB124" s="65" t="str">
        <f>IF(NOT(ISNA(NPS_Data[[#This Row],[CreatedDateTime]])),
   YEAR(NPS_Data[[#This Row],[CreatedDateTime]]) &amp; "-" &amp; TEXT(WEEKNUM(NPS_Data[[#This Row],[CreatedDateTime]],2),"00"),
   "")</f>
        <v>2025-38</v>
      </c>
      <c r="AC124" s="14" t="str">
        <f>IF(NOT(ISNA(NPS_Data[[#This Row],[CreatedDateTime]])), TEXT(NPS_Data[[#This Row],[CreatedDateTime]],"YYYY-MM"), "")</f>
        <v>2025-09</v>
      </c>
      <c r="AD124" s="14" t="str">
        <f>IF(NOT(ISNUMBER(NPS_Data[[#This Row],[ResolutionHours]])),"Open", IF(NPS_Data[[#This Row],[ResolutionHours]]&gt;72,"Breach","OK"))</f>
        <v>OK</v>
      </c>
      <c r="AE124" s="14">
        <f>IF(AND(ISNUMBER(NPS_Data[[#This Row],[CreatedDateTime]]), ISNUMBER(NPS_Data[[#This Row],[ResolvedDateTime]])), 1, 0)</f>
        <v>1</v>
      </c>
      <c r="AF124" s="48" t="str">
        <f>IF(NOT(ISNA(NPS_Data[[#This Row],[CreatedDateTime]])), TEXT(NPS_Data[[#This Row],[CreatedDateTime]],"dddd"), "")</f>
        <v>Sunday</v>
      </c>
    </row>
    <row r="125" spans="1:32" x14ac:dyDescent="0.25">
      <c r="A125" s="2" t="s">
        <v>765</v>
      </c>
      <c r="B125" s="2" t="s">
        <v>224</v>
      </c>
      <c r="C125" s="2" t="s">
        <v>766</v>
      </c>
      <c r="D12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45872.64508101852</v>
      </c>
      <c r="E125" s="2" t="s">
        <v>104</v>
      </c>
      <c r="F125" s="2" t="s">
        <v>524</v>
      </c>
      <c r="G125" s="2" t="s">
        <v>767</v>
      </c>
      <c r="H125"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45875.492835648147</v>
      </c>
      <c r="I125" s="2" t="s">
        <v>23</v>
      </c>
      <c r="J125" s="2" t="s">
        <v>23</v>
      </c>
      <c r="K125" s="2" t="s">
        <v>38</v>
      </c>
      <c r="L125" s="2" t="s">
        <v>768</v>
      </c>
      <c r="M125" s="2" t="s">
        <v>769</v>
      </c>
      <c r="N125" s="2" t="s">
        <v>770</v>
      </c>
      <c r="O125" s="2" t="s">
        <v>41</v>
      </c>
      <c r="P125" s="2" t="s">
        <v>158</v>
      </c>
      <c r="Q125" s="3">
        <v>3</v>
      </c>
      <c r="R125" s="2" t="s">
        <v>30</v>
      </c>
      <c r="S125" s="2" t="s">
        <v>31</v>
      </c>
      <c r="T125" s="2" t="str">
        <f>IF(OR(NPS_Data[[#This Row],[CreatedDateTime]]="",NPS_Data[[#This Row],[Assigned To]]="",NPS_Data[[#This Row],[Issue 2 - NPS]]="",NPS_Data[[#This Row],[Program Name]]=""),"Missing","OK")</f>
        <v>OK</v>
      </c>
      <c r="U125" s="2" t="str">
        <f>IF(
  AND(NPS_Data[[#This Row],[Status]]="Complete", OR(ISNA(NPS_Data[[#This Row],[ResolvedDateTime]]), ISBLANK(NPS_Data[[#This Row],[ResolvedDateTime]]))),
  "CompleteNoResolved",
  IF(
    AND(NPS_Data[[#This Row],[Status]]="Pending", NPS_Data[[#This Row],[Sub Status]]="Solved"),
    "PendingButSolved",
    "OK"
  )
)</f>
        <v>OK</v>
      </c>
      <c r="V12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25" s="2" t="str">
        <f>IFERROR(TRIM(CLEAN(NPS_Data[[#This Row],[Ticket All Remarks]])),"")</f>
        <v>Weekend DSML Aug25 timing (10 AM - 2 PM) conflicts with family time. Children's activities and household responsibilities suffer due to class schedule. || Resolution: Created flexible weekend options with shorter session formats</v>
      </c>
      <c r="X125" s="2" cm="1">
        <f t="array" aca="1" ref="X125" ca="1">IF(NPS_Data[[#This Row],[CleanRemark]]="","",
   SUMPRODUCT(CODE(MID(NPS_Data[[#This Row],[CleanRemark]],ROW(INDIRECT("1:"&amp;LEN(NPS_Data[[#This Row],[CleanRemark]]))),1))))</f>
        <v>21041</v>
      </c>
      <c r="Y125" s="2" t="str">
        <f>IF(COUNTIF(NPS_Data[Ticket No],NPS_Data[[#This Row],[Ticket No]])&gt;1,"Duplicate","OK")</f>
        <v>OK</v>
      </c>
      <c r="Z125" s="2" t="str">
        <f ca="1">IF(NPS_Data[[#This Row],[RemarkHash]]="","OK",
   IF(COUNTIF(NPS_Data[RemarkHash],NPS_Data[[#This Row],[RemarkHash]])&gt;1,"RepeatedRemark","OK"))</f>
        <v>OK</v>
      </c>
      <c r="AA125" s="17">
        <f>IF( AND( ISNUMBER(NPS_Data[[#This Row],[CreatedDateTime]]), ISNUMBER(NPS_Data[[#This Row],[ResolvedDateTime]]) ), (NPS_Data[[#This Row],[ResolvedDateTime]] - NPS_Data[[#This Row],[CreatedDateTime]]) * 24, 0 )</f>
        <v>68.346111111051869</v>
      </c>
      <c r="AB125" s="65" t="str">
        <f>IF(NOT(ISNA(NPS_Data[[#This Row],[CreatedDateTime]])),
   YEAR(NPS_Data[[#This Row],[CreatedDateTime]]) &amp; "-" &amp; TEXT(WEEKNUM(NPS_Data[[#This Row],[CreatedDateTime]],2),"00"),
   "")</f>
        <v>2025-31</v>
      </c>
      <c r="AC125" s="14" t="str">
        <f>IF(NOT(ISNA(NPS_Data[[#This Row],[CreatedDateTime]])), TEXT(NPS_Data[[#This Row],[CreatedDateTime]],"YYYY-MM"), "")</f>
        <v>2025-08</v>
      </c>
      <c r="AD125" s="14" t="str">
        <f>IF(NOT(ISNUMBER(NPS_Data[[#This Row],[ResolutionHours]])),"Open", IF(NPS_Data[[#This Row],[ResolutionHours]]&gt;72,"Breach","OK"))</f>
        <v>OK</v>
      </c>
      <c r="AE125" s="14">
        <f>IF(AND(ISNUMBER(NPS_Data[[#This Row],[CreatedDateTime]]), ISNUMBER(NPS_Data[[#This Row],[ResolvedDateTime]])), 1, 0)</f>
        <v>1</v>
      </c>
      <c r="AF125" s="48" t="str">
        <f>IF(NOT(ISNA(NPS_Data[[#This Row],[CreatedDateTime]])), TEXT(NPS_Data[[#This Row],[CreatedDateTime]],"dddd"), "")</f>
        <v>Sunday</v>
      </c>
    </row>
    <row r="126" spans="1:32" x14ac:dyDescent="0.25">
      <c r="A126" s="2" t="s">
        <v>771</v>
      </c>
      <c r="B126" s="2" t="s">
        <v>255</v>
      </c>
      <c r="C126" s="2" t="s">
        <v>772</v>
      </c>
      <c r="D12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45904.697060185186</v>
      </c>
      <c r="E126" s="2" t="s">
        <v>80</v>
      </c>
      <c r="F126" s="2" t="s">
        <v>288</v>
      </c>
      <c r="G126" s="2" t="s">
        <v>773</v>
      </c>
      <c r="H126"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45907.536805555559</v>
      </c>
      <c r="I126" s="2" t="s">
        <v>23</v>
      </c>
      <c r="J126" s="2" t="s">
        <v>23</v>
      </c>
      <c r="K126" s="2" t="s">
        <v>38</v>
      </c>
      <c r="L126" s="2" t="s">
        <v>774</v>
      </c>
      <c r="M126" s="2" t="s">
        <v>775</v>
      </c>
      <c r="N126" s="2" t="s">
        <v>607</v>
      </c>
      <c r="O126" s="2" t="s">
        <v>28</v>
      </c>
      <c r="P126" s="2" t="s">
        <v>379</v>
      </c>
      <c r="Q126" s="3">
        <v>3</v>
      </c>
      <c r="R126" s="2" t="s">
        <v>30</v>
      </c>
      <c r="S126" s="2" t="s">
        <v>31</v>
      </c>
      <c r="T126" s="2" t="str">
        <f>IF(OR(NPS_Data[[#This Row],[CreatedDateTime]]="",NPS_Data[[#This Row],[Assigned To]]="",NPS_Data[[#This Row],[Issue 2 - NPS]]="",NPS_Data[[#This Row],[Program Name]]=""),"Missing","OK")</f>
        <v>OK</v>
      </c>
      <c r="U126" s="2" t="str">
        <f>IF(
  AND(NPS_Data[[#This Row],[Status]]="Complete", OR(ISNA(NPS_Data[[#This Row],[ResolvedDateTime]]), ISBLANK(NPS_Data[[#This Row],[ResolvedDateTime]]))),
  "CompleteNoResolved",
  IF(
    AND(NPS_Data[[#This Row],[Status]]="Pending", NPS_Data[[#This Row],[Sub Status]]="Solved"),
    "PendingButSolved",
    "OK"
  )
)</f>
        <v>OK</v>
      </c>
      <c r="V12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26" s="2" t="str">
        <f>IFERROR(TRIM(CLEAN(NPS_Data[[#This Row],[Ticket All Remarks]])),"")</f>
        <v>System Design course only teaches monolithic patterns. Microservices, event-driven architecture, and serverless barely mentioned. Need cloud-native design patterns. || Resolution: Expanding curriculum with 40 hours of distributed systems content</v>
      </c>
      <c r="X126" s="2" cm="1">
        <f t="array" aca="1" ref="X126" ca="1">IF(NPS_Data[[#This Row],[CleanRemark]]="","",
   SUMPRODUCT(CODE(MID(NPS_Data[[#This Row],[CleanRemark]],ROW(INDIRECT("1:"&amp;LEN(NPS_Data[[#This Row],[CleanRemark]]))),1))))</f>
        <v>23664</v>
      </c>
      <c r="Y126" s="2" t="str">
        <f>IF(COUNTIF(NPS_Data[Ticket No],NPS_Data[[#This Row],[Ticket No]])&gt;1,"Duplicate","OK")</f>
        <v>OK</v>
      </c>
      <c r="Z126" s="2" t="str">
        <f ca="1">IF(NPS_Data[[#This Row],[RemarkHash]]="","OK",
   IF(COUNTIF(NPS_Data[RemarkHash],NPS_Data[[#This Row],[RemarkHash]])&gt;1,"RepeatedRemark","OK"))</f>
        <v>RepeatedRemark</v>
      </c>
      <c r="AA126" s="17">
        <f>IF( AND( ISNUMBER(NPS_Data[[#This Row],[CreatedDateTime]]), ISNUMBER(NPS_Data[[#This Row],[ResolvedDateTime]]) ), (NPS_Data[[#This Row],[ResolvedDateTime]] - NPS_Data[[#This Row],[CreatedDateTime]]) * 24, 0 )</f>
        <v>68.153888888948131</v>
      </c>
      <c r="AB126" s="65" t="str">
        <f>IF(NOT(ISNA(NPS_Data[[#This Row],[CreatedDateTime]])),
   YEAR(NPS_Data[[#This Row],[CreatedDateTime]]) &amp; "-" &amp; TEXT(WEEKNUM(NPS_Data[[#This Row],[CreatedDateTime]],2),"00"),
   "")</f>
        <v>2025-36</v>
      </c>
      <c r="AC126" s="14" t="str">
        <f>IF(NOT(ISNA(NPS_Data[[#This Row],[CreatedDateTime]])), TEXT(NPS_Data[[#This Row],[CreatedDateTime]],"YYYY-MM"), "")</f>
        <v>2025-09</v>
      </c>
      <c r="AD126" s="14" t="str">
        <f>IF(NOT(ISNUMBER(NPS_Data[[#This Row],[ResolutionHours]])),"Open", IF(NPS_Data[[#This Row],[ResolutionHours]]&gt;72,"Breach","OK"))</f>
        <v>OK</v>
      </c>
      <c r="AE126" s="14">
        <f>IF(AND(ISNUMBER(NPS_Data[[#This Row],[CreatedDateTime]]), ISNUMBER(NPS_Data[[#This Row],[ResolvedDateTime]])), 1, 0)</f>
        <v>1</v>
      </c>
      <c r="AF126" s="48" t="str">
        <f>IF(NOT(ISNA(NPS_Data[[#This Row],[CreatedDateTime]])), TEXT(NPS_Data[[#This Row],[CreatedDateTime]],"dddd"), "")</f>
        <v>Thursday</v>
      </c>
    </row>
    <row r="127" spans="1:32" x14ac:dyDescent="0.25">
      <c r="A127" s="2" t="s">
        <v>776</v>
      </c>
      <c r="B127" s="2" t="s">
        <v>18</v>
      </c>
      <c r="C127" s="2" t="s">
        <v>777</v>
      </c>
      <c r="D12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45892.509074074071</v>
      </c>
      <c r="E127" s="2" t="s">
        <v>20</v>
      </c>
      <c r="F127" s="2" t="s">
        <v>143</v>
      </c>
      <c r="G127" s="2" t="s">
        <v>778</v>
      </c>
      <c r="H127"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45896.418645833335</v>
      </c>
      <c r="I127" s="2" t="s">
        <v>23</v>
      </c>
      <c r="J127" s="2" t="s">
        <v>23</v>
      </c>
      <c r="K127" s="2" t="s">
        <v>88</v>
      </c>
      <c r="L127" s="2" t="s">
        <v>779</v>
      </c>
      <c r="M127" s="2" t="s">
        <v>780</v>
      </c>
      <c r="N127" s="2" t="s">
        <v>781</v>
      </c>
      <c r="O127" s="2" t="s">
        <v>41</v>
      </c>
      <c r="P127" s="2" t="s">
        <v>189</v>
      </c>
      <c r="Q127" s="3">
        <v>1</v>
      </c>
      <c r="R127" s="2" t="s">
        <v>30</v>
      </c>
      <c r="S127" s="2" t="s">
        <v>31</v>
      </c>
      <c r="T127" s="2" t="str">
        <f>IF(OR(NPS_Data[[#This Row],[CreatedDateTime]]="",NPS_Data[[#This Row],[Assigned To]]="",NPS_Data[[#This Row],[Issue 2 - NPS]]="",NPS_Data[[#This Row],[Program Name]]=""),"Missing","OK")</f>
        <v>OK</v>
      </c>
      <c r="U127" s="2" t="str">
        <f>IF(
  AND(NPS_Data[[#This Row],[Status]]="Complete", OR(ISNA(NPS_Data[[#This Row],[ResolvedDateTime]]), ISBLANK(NPS_Data[[#This Row],[ResolvedDateTime]]))),
  "CompleteNoResolved",
  IF(
    AND(NPS_Data[[#This Row],[Status]]="Pending", NPS_Data[[#This Row],[Sub Status]]="Solved"),
    "PendingButSolved",
    "OK"
  )
)</f>
        <v>OK</v>
      </c>
      <c r="V12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27" s="2" t="str">
        <f>IFERROR(TRIM(CLEAN(NPS_Data[[#This Row],[Ticket All Remarks]])),"")</f>
        <v>Contract/freelance offers available but seeking permanent positions with benefits and job security. Market seems tilted toward gig work. || Resolution: Targeted Microsoft outreach focusing on full-time opportunity pipeline</v>
      </c>
      <c r="X127" s="2" cm="1">
        <f t="array" aca="1" ref="X127" ca="1">IF(NPS_Data[[#This Row],[CleanRemark]]="","",
   SUMPRODUCT(CODE(MID(NPS_Data[[#This Row],[CleanRemark]],ROW(INDIRECT("1:"&amp;LEN(NPS_Data[[#This Row],[CleanRemark]]))),1))))</f>
        <v>21503</v>
      </c>
      <c r="Y127" s="2" t="str">
        <f>IF(COUNTIF(NPS_Data[Ticket No],NPS_Data[[#This Row],[Ticket No]])&gt;1,"Duplicate","OK")</f>
        <v>OK</v>
      </c>
      <c r="Z127" s="2" t="str">
        <f ca="1">IF(NPS_Data[[#This Row],[RemarkHash]]="","OK",
   IF(COUNTIF(NPS_Data[RemarkHash],NPS_Data[[#This Row],[RemarkHash]])&gt;1,"RepeatedRemark","OK"))</f>
        <v>RepeatedRemark</v>
      </c>
      <c r="AA127" s="17">
        <f>IF( AND( ISNUMBER(NPS_Data[[#This Row],[CreatedDateTime]]), ISNUMBER(NPS_Data[[#This Row],[ResolvedDateTime]]) ), (NPS_Data[[#This Row],[ResolvedDateTime]] - NPS_Data[[#This Row],[CreatedDateTime]]) * 24, 0 )</f>
        <v>93.829722222348209</v>
      </c>
      <c r="AB127" s="65" t="str">
        <f>IF(NOT(ISNA(NPS_Data[[#This Row],[CreatedDateTime]])),
   YEAR(NPS_Data[[#This Row],[CreatedDateTime]]) &amp; "-" &amp; TEXT(WEEKNUM(NPS_Data[[#This Row],[CreatedDateTime]],2),"00"),
   "")</f>
        <v>2025-34</v>
      </c>
      <c r="AC127" s="14" t="str">
        <f>IF(NOT(ISNA(NPS_Data[[#This Row],[CreatedDateTime]])), TEXT(NPS_Data[[#This Row],[CreatedDateTime]],"YYYY-MM"), "")</f>
        <v>2025-08</v>
      </c>
      <c r="AD127" s="14" t="str">
        <f>IF(NOT(ISNUMBER(NPS_Data[[#This Row],[ResolutionHours]])),"Open", IF(NPS_Data[[#This Row],[ResolutionHours]]&gt;72,"Breach","OK"))</f>
        <v>Breach</v>
      </c>
      <c r="AE127" s="14">
        <f>IF(AND(ISNUMBER(NPS_Data[[#This Row],[CreatedDateTime]]), ISNUMBER(NPS_Data[[#This Row],[ResolvedDateTime]])), 1, 0)</f>
        <v>1</v>
      </c>
      <c r="AF127" s="48" t="str">
        <f>IF(NOT(ISNA(NPS_Data[[#This Row],[CreatedDateTime]])), TEXT(NPS_Data[[#This Row],[CreatedDateTime]],"dddd"), "")</f>
        <v>Saturday</v>
      </c>
    </row>
    <row r="128" spans="1:32" x14ac:dyDescent="0.25">
      <c r="A128" s="2" t="s">
        <v>782</v>
      </c>
      <c r="B128" s="2" t="s">
        <v>435</v>
      </c>
      <c r="C128" s="2" t="s">
        <v>783</v>
      </c>
      <c r="D12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45873.480763888889</v>
      </c>
      <c r="E128" s="2" t="s">
        <v>35</v>
      </c>
      <c r="F128" s="2" t="s">
        <v>396</v>
      </c>
      <c r="G128" s="2" t="s">
        <v>784</v>
      </c>
      <c r="H128"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45874.644606481481</v>
      </c>
      <c r="I128" s="2" t="s">
        <v>23</v>
      </c>
      <c r="J128" s="2" t="s">
        <v>23</v>
      </c>
      <c r="K128" s="2" t="s">
        <v>38</v>
      </c>
      <c r="L128" s="2" t="s">
        <v>785</v>
      </c>
      <c r="M128" s="2" t="s">
        <v>786</v>
      </c>
      <c r="N128" s="2" t="s">
        <v>787</v>
      </c>
      <c r="O128" s="2" t="s">
        <v>177</v>
      </c>
      <c r="P128" s="2" t="s">
        <v>148</v>
      </c>
      <c r="Q128" s="3">
        <v>5</v>
      </c>
      <c r="R128" s="2" t="s">
        <v>30</v>
      </c>
      <c r="S128" s="2" t="s">
        <v>31</v>
      </c>
      <c r="T128" s="2" t="str">
        <f>IF(OR(NPS_Data[[#This Row],[CreatedDateTime]]="",NPS_Data[[#This Row],[Assigned To]]="",NPS_Data[[#This Row],[Issue 2 - NPS]]="",NPS_Data[[#This Row],[Program Name]]=""),"Missing","OK")</f>
        <v>OK</v>
      </c>
      <c r="U128" s="2" t="str">
        <f>IF(
  AND(NPS_Data[[#This Row],[Status]]="Complete", OR(ISNA(NPS_Data[[#This Row],[ResolvedDateTime]]), ISBLANK(NPS_Data[[#This Row],[ResolvedDateTime]]))),
  "CompleteNoResolved",
  IF(
    AND(NPS_Data[[#This Row],[Status]]="Pending", NPS_Data[[#This Row],[Sub Status]]="Solved"),
    "PendingButSolved",
    "OK"
  )
)</f>
        <v>OK</v>
      </c>
      <c r="V12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28" s="2" t="str">
        <f>IFERROR(TRIM(CLEAN(NPS_Data[[#This Row],[Ticket All Remarks]])),"")</f>
        <v>Teaching pace in Data Structures class is inconsistent. Some days covers 3 algorithms, other days struggles with basic concepts. No structured lesson planning visible. || Resolution: Introduced standardized lesson plans with time allocations</v>
      </c>
      <c r="X128" s="2" cm="1">
        <f t="array" aca="1" ref="X128" ca="1">IF(NPS_Data[[#This Row],[CleanRemark]]="","",
   SUMPRODUCT(CODE(MID(NPS_Data[[#This Row],[CleanRemark]],ROW(INDIRECT("1:"&amp;LEN(NPS_Data[[#This Row],[CleanRemark]]))),1))))</f>
        <v>23107</v>
      </c>
      <c r="Y128" s="2" t="str">
        <f>IF(COUNTIF(NPS_Data[Ticket No],NPS_Data[[#This Row],[Ticket No]])&gt;1,"Duplicate","OK")</f>
        <v>OK</v>
      </c>
      <c r="Z128" s="2" t="str">
        <f ca="1">IF(NPS_Data[[#This Row],[RemarkHash]]="","OK",
   IF(COUNTIF(NPS_Data[RemarkHash],NPS_Data[[#This Row],[RemarkHash]])&gt;1,"RepeatedRemark","OK"))</f>
        <v>RepeatedRemark</v>
      </c>
      <c r="AA128" s="17">
        <f>IF( AND( ISNUMBER(NPS_Data[[#This Row],[CreatedDateTime]]), ISNUMBER(NPS_Data[[#This Row],[ResolvedDateTime]]) ), (NPS_Data[[#This Row],[ResolvedDateTime]] - NPS_Data[[#This Row],[CreatedDateTime]]) * 24, 0 )</f>
        <v>27.932222222210839</v>
      </c>
      <c r="AB128" s="65" t="str">
        <f>IF(NOT(ISNA(NPS_Data[[#This Row],[CreatedDateTime]])),
   YEAR(NPS_Data[[#This Row],[CreatedDateTime]]) &amp; "-" &amp; TEXT(WEEKNUM(NPS_Data[[#This Row],[CreatedDateTime]],2),"00"),
   "")</f>
        <v>2025-32</v>
      </c>
      <c r="AC128" s="14" t="str">
        <f>IF(NOT(ISNA(NPS_Data[[#This Row],[CreatedDateTime]])), TEXT(NPS_Data[[#This Row],[CreatedDateTime]],"YYYY-MM"), "")</f>
        <v>2025-08</v>
      </c>
      <c r="AD128" s="14" t="str">
        <f>IF(NOT(ISNUMBER(NPS_Data[[#This Row],[ResolutionHours]])),"Open", IF(NPS_Data[[#This Row],[ResolutionHours]]&gt;72,"Breach","OK"))</f>
        <v>OK</v>
      </c>
      <c r="AE128" s="14">
        <f>IF(AND(ISNUMBER(NPS_Data[[#This Row],[CreatedDateTime]]), ISNUMBER(NPS_Data[[#This Row],[ResolvedDateTime]])), 1, 0)</f>
        <v>1</v>
      </c>
      <c r="AF128" s="48" t="str">
        <f>IF(NOT(ISNA(NPS_Data[[#This Row],[CreatedDateTime]])), TEXT(NPS_Data[[#This Row],[CreatedDateTime]],"dddd"), "")</f>
        <v>Monday</v>
      </c>
    </row>
    <row r="129" spans="1:32" x14ac:dyDescent="0.25">
      <c r="A129" s="2" t="s">
        <v>788</v>
      </c>
      <c r="B129" s="2" t="s">
        <v>36</v>
      </c>
      <c r="C129" s="2" t="s">
        <v>789</v>
      </c>
      <c r="D12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45912.729895833334</v>
      </c>
      <c r="E129" s="2" t="s">
        <v>167</v>
      </c>
      <c r="F129" s="2" t="s">
        <v>331</v>
      </c>
      <c r="G129" s="2" t="s">
        <v>790</v>
      </c>
      <c r="H129"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45919.553506944445</v>
      </c>
      <c r="I129" s="2" t="s">
        <v>23</v>
      </c>
      <c r="J129" s="2" t="s">
        <v>23</v>
      </c>
      <c r="K129" s="2" t="s">
        <v>88</v>
      </c>
      <c r="L129" s="2" t="s">
        <v>791</v>
      </c>
      <c r="M129" s="2" t="s">
        <v>792</v>
      </c>
      <c r="N129" s="2" t="s">
        <v>793</v>
      </c>
      <c r="O129" s="2" t="s">
        <v>177</v>
      </c>
      <c r="P129" s="2" t="s">
        <v>92</v>
      </c>
      <c r="Q129" s="3">
        <v>8</v>
      </c>
      <c r="R129" s="2" t="s">
        <v>30</v>
      </c>
      <c r="S129" s="2" t="s">
        <v>31</v>
      </c>
      <c r="T129" s="2" t="str">
        <f>IF(OR(NPS_Data[[#This Row],[CreatedDateTime]]="",NPS_Data[[#This Row],[Assigned To]]="",NPS_Data[[#This Row],[Issue 2 - NPS]]="",NPS_Data[[#This Row],[Program Name]]=""),"Missing","OK")</f>
        <v>OK</v>
      </c>
      <c r="U129" s="2" t="str">
        <f>IF(
  AND(NPS_Data[[#This Row],[Status]]="Complete", OR(ISNA(NPS_Data[[#This Row],[ResolvedDateTime]]), ISBLANK(NPS_Data[[#This Row],[ResolvedDateTime]]))),
  "CompleteNoResolved",
  IF(
    AND(NPS_Data[[#This Row],[Status]]="Pending", NPS_Data[[#This Row],[Sub Status]]="Solved"),
    "PendingButSolved",
    "OK"
  )
)</f>
        <v>OK</v>
      </c>
      <c r="V12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29" s="2" t="str">
        <f>IFERROR(TRIM(CLEAN(NPS_Data[[#This Row],[Ticket All Remarks]])),"")</f>
        <v>Want to pursue management track vs staying technical. Currently team lead but unsure about MBA requirements and career progression options. || Resolution: Arranged sessions with both technical architects and engineering managers</v>
      </c>
      <c r="X129" s="2" cm="1">
        <f t="array" aca="1" ref="X129" ca="1">IF(NPS_Data[[#This Row],[CleanRemark]]="","",
   SUMPRODUCT(CODE(MID(NPS_Data[[#This Row],[CleanRemark]],ROW(INDIRECT("1:"&amp;LEN(NPS_Data[[#This Row],[CleanRemark]]))),1))))</f>
        <v>21946</v>
      </c>
      <c r="Y129" s="2" t="str">
        <f>IF(COUNTIF(NPS_Data[Ticket No],NPS_Data[[#This Row],[Ticket No]])&gt;1,"Duplicate","OK")</f>
        <v>OK</v>
      </c>
      <c r="Z129" s="2" t="str">
        <f ca="1">IF(NPS_Data[[#This Row],[RemarkHash]]="","OK",
   IF(COUNTIF(NPS_Data[RemarkHash],NPS_Data[[#This Row],[RemarkHash]])&gt;1,"RepeatedRemark","OK"))</f>
        <v>RepeatedRemark</v>
      </c>
      <c r="AA129" s="17">
        <f>IF( AND( ISNUMBER(NPS_Data[[#This Row],[CreatedDateTime]]), ISNUMBER(NPS_Data[[#This Row],[ResolvedDateTime]]) ), (NPS_Data[[#This Row],[ResolvedDateTime]] - NPS_Data[[#This Row],[CreatedDateTime]]) * 24, 0 )</f>
        <v>163.76666666666279</v>
      </c>
      <c r="AB129" s="65" t="str">
        <f>IF(NOT(ISNA(NPS_Data[[#This Row],[CreatedDateTime]])),
   YEAR(NPS_Data[[#This Row],[CreatedDateTime]]) &amp; "-" &amp; TEXT(WEEKNUM(NPS_Data[[#This Row],[CreatedDateTime]],2),"00"),
   "")</f>
        <v>2025-37</v>
      </c>
      <c r="AC129" s="14" t="str">
        <f>IF(NOT(ISNA(NPS_Data[[#This Row],[CreatedDateTime]])), TEXT(NPS_Data[[#This Row],[CreatedDateTime]],"YYYY-MM"), "")</f>
        <v>2025-09</v>
      </c>
      <c r="AD129" s="14" t="str">
        <f>IF(NOT(ISNUMBER(NPS_Data[[#This Row],[ResolutionHours]])),"Open", IF(NPS_Data[[#This Row],[ResolutionHours]]&gt;72,"Breach","OK"))</f>
        <v>Breach</v>
      </c>
      <c r="AE129" s="14">
        <f>IF(AND(ISNUMBER(NPS_Data[[#This Row],[CreatedDateTime]]), ISNUMBER(NPS_Data[[#This Row],[ResolvedDateTime]])), 1, 0)</f>
        <v>1</v>
      </c>
      <c r="AF129" s="48" t="str">
        <f>IF(NOT(ISNA(NPS_Data[[#This Row],[CreatedDateTime]])), TEXT(NPS_Data[[#This Row],[CreatedDateTime]],"dddd"), "")</f>
        <v>Friday</v>
      </c>
    </row>
    <row r="130" spans="1:32" x14ac:dyDescent="0.25">
      <c r="A130" s="2" t="s">
        <v>794</v>
      </c>
      <c r="B130" s="2" t="s">
        <v>143</v>
      </c>
      <c r="C130" s="2" t="s">
        <v>795</v>
      </c>
      <c r="D13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45896.513819444444</v>
      </c>
      <c r="E130" s="2" t="s">
        <v>219</v>
      </c>
      <c r="F130" s="2" t="s">
        <v>94</v>
      </c>
      <c r="G130" s="2" t="s">
        <v>796</v>
      </c>
      <c r="H130"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45901.633194444446</v>
      </c>
      <c r="I130" s="2" t="s">
        <v>23</v>
      </c>
      <c r="J130" s="2" t="s">
        <v>23</v>
      </c>
      <c r="K130" s="2" t="s">
        <v>56</v>
      </c>
      <c r="L130" s="2" t="s">
        <v>797</v>
      </c>
      <c r="M130" s="2" t="s">
        <v>798</v>
      </c>
      <c r="N130" s="2" t="s">
        <v>799</v>
      </c>
      <c r="O130" s="2" t="s">
        <v>41</v>
      </c>
      <c r="P130" s="2" t="s">
        <v>585</v>
      </c>
      <c r="Q130" s="3">
        <v>6</v>
      </c>
      <c r="R130" s="2" t="s">
        <v>30</v>
      </c>
      <c r="S130" s="2" t="s">
        <v>31</v>
      </c>
      <c r="T130" s="2" t="str">
        <f>IF(OR(NPS_Data[[#This Row],[CreatedDateTime]]="",NPS_Data[[#This Row],[Assigned To]]="",NPS_Data[[#This Row],[Issue 2 - NPS]]="",NPS_Data[[#This Row],[Program Name]]=""),"Missing","OK")</f>
        <v>OK</v>
      </c>
      <c r="U130" s="2" t="str">
        <f>IF(
  AND(NPS_Data[[#This Row],[Status]]="Complete", OR(ISNA(NPS_Data[[#This Row],[ResolvedDateTime]]), ISBLANK(NPS_Data[[#This Row],[ResolvedDateTime]]))),
  "CompleteNoResolved",
  IF(
    AND(NPS_Data[[#This Row],[Status]]="Pending", NPS_Data[[#This Row],[Sub Status]]="Solved"),
    "PendingButSolved",
    "OK"
  )
)</f>
        <v>OK</v>
      </c>
      <c r="V13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30" s="2" t="str">
        <f>IFERROR(TRIM(CLEAN(NPS_Data[[#This Row],[Ticket All Remarks]])),"")</f>
        <v>Audio-video sync issues during recorded playback. Instructor Ravi Sharma's voice doesn't match lip movement by 2-3 seconds. Distracting during learning. || Resolution: Fixed encoding pipeline and re-processed affected recordings</v>
      </c>
      <c r="X130" s="2" cm="1">
        <f t="array" aca="1" ref="X130" ca="1">IF(NPS_Data[[#This Row],[CleanRemark]]="","",
   SUMPRODUCT(CODE(MID(NPS_Data[[#This Row],[CleanRemark]],ROW(INDIRECT("1:"&amp;LEN(NPS_Data[[#This Row],[CleanRemark]]))),1))))</f>
        <v>21506</v>
      </c>
      <c r="Y130" s="2" t="str">
        <f>IF(COUNTIF(NPS_Data[Ticket No],NPS_Data[[#This Row],[Ticket No]])&gt;1,"Duplicate","OK")</f>
        <v>OK</v>
      </c>
      <c r="Z130" s="2" t="str">
        <f ca="1">IF(NPS_Data[[#This Row],[RemarkHash]]="","OK",
   IF(COUNTIF(NPS_Data[RemarkHash],NPS_Data[[#This Row],[RemarkHash]])&gt;1,"RepeatedRemark","OK"))</f>
        <v>OK</v>
      </c>
      <c r="AA130" s="17">
        <f>IF( AND( ISNUMBER(NPS_Data[[#This Row],[CreatedDateTime]]), ISNUMBER(NPS_Data[[#This Row],[ResolvedDateTime]]) ), (NPS_Data[[#This Row],[ResolvedDateTime]] - NPS_Data[[#This Row],[CreatedDateTime]]) * 24, 0 )</f>
        <v>122.86500000004889</v>
      </c>
      <c r="AB130" s="65" t="str">
        <f>IF(NOT(ISNA(NPS_Data[[#This Row],[CreatedDateTime]])),
   YEAR(NPS_Data[[#This Row],[CreatedDateTime]]) &amp; "-" &amp; TEXT(WEEKNUM(NPS_Data[[#This Row],[CreatedDateTime]],2),"00"),
   "")</f>
        <v>2025-35</v>
      </c>
      <c r="AC130" s="14" t="str">
        <f>IF(NOT(ISNA(NPS_Data[[#This Row],[CreatedDateTime]])), TEXT(NPS_Data[[#This Row],[CreatedDateTime]],"YYYY-MM"), "")</f>
        <v>2025-08</v>
      </c>
      <c r="AD130" s="14" t="str">
        <f>IF(NOT(ISNUMBER(NPS_Data[[#This Row],[ResolutionHours]])),"Open", IF(NPS_Data[[#This Row],[ResolutionHours]]&gt;72,"Breach","OK"))</f>
        <v>Breach</v>
      </c>
      <c r="AE130" s="14">
        <f>IF(AND(ISNUMBER(NPS_Data[[#This Row],[CreatedDateTime]]), ISNUMBER(NPS_Data[[#This Row],[ResolvedDateTime]])), 1, 0)</f>
        <v>1</v>
      </c>
      <c r="AF130" s="48" t="str">
        <f>IF(NOT(ISNA(NPS_Data[[#This Row],[CreatedDateTime]])), TEXT(NPS_Data[[#This Row],[CreatedDateTime]],"dddd"), "")</f>
        <v>Wednesday</v>
      </c>
    </row>
    <row r="131" spans="1:32" x14ac:dyDescent="0.25">
      <c r="A131" s="2" t="s">
        <v>800</v>
      </c>
      <c r="B131" s="2" t="s">
        <v>127</v>
      </c>
      <c r="C131" s="2" t="s">
        <v>801</v>
      </c>
      <c r="D13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45878.587199074071</v>
      </c>
      <c r="E131" s="2" t="s">
        <v>35</v>
      </c>
      <c r="F131" s="2" t="s">
        <v>364</v>
      </c>
      <c r="G131" s="2" t="s">
        <v>802</v>
      </c>
      <c r="H131"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45883.515057870369</v>
      </c>
      <c r="I131" s="2" t="s">
        <v>23</v>
      </c>
      <c r="J131" s="2" t="s">
        <v>23</v>
      </c>
      <c r="K131" s="2" t="s">
        <v>38</v>
      </c>
      <c r="L131" s="2" t="s">
        <v>803</v>
      </c>
      <c r="M131" s="2" t="s">
        <v>804</v>
      </c>
      <c r="N131" s="2" t="s">
        <v>805</v>
      </c>
      <c r="O131" s="2" t="s">
        <v>28</v>
      </c>
      <c r="P131" s="2" t="s">
        <v>148</v>
      </c>
      <c r="Q131" s="3">
        <v>5</v>
      </c>
      <c r="R131" s="2" t="s">
        <v>30</v>
      </c>
      <c r="S131" s="2" t="s">
        <v>31</v>
      </c>
      <c r="T131" s="2" t="str">
        <f>IF(OR(NPS_Data[[#This Row],[CreatedDateTime]]="",NPS_Data[[#This Row],[Assigned To]]="",NPS_Data[[#This Row],[Issue 2 - NPS]]="",NPS_Data[[#This Row],[Program Name]]=""),"Missing","OK")</f>
        <v>OK</v>
      </c>
      <c r="U131" s="2" t="str">
        <f>IF(
  AND(NPS_Data[[#This Row],[Status]]="Complete", OR(ISNA(NPS_Data[[#This Row],[ResolvedDateTime]]), ISBLANK(NPS_Data[[#This Row],[ResolvedDateTime]]))),
  "CompleteNoResolved",
  IF(
    AND(NPS_Data[[#This Row],[Status]]="Pending", NPS_Data[[#This Row],[Sub Status]]="Solved"),
    "PendingButSolved",
    "OK"
  )
)</f>
        <v>OK</v>
      </c>
      <c r="V13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31" s="2" t="str">
        <f>IFERROR(TRIM(CLEAN(NPS_Data[[#This Row],[Ticket All Remarks]])),"")</f>
        <v>Instructor Amit Gupta Amit Gupta doesn't prepare well for classes. Frequently says 'I'll get back to you' for basic SQL queries. Students lose confidence in course quality. || Resolution: Implemented mandatory instructor preparation reviews</v>
      </c>
      <c r="X131" s="2" cm="1">
        <f t="array" aca="1" ref="X131" ca="1">IF(NPS_Data[[#This Row],[CleanRemark]]="","",
   SUMPRODUCT(CODE(MID(NPS_Data[[#This Row],[CleanRemark]],ROW(INDIRECT("1:"&amp;LEN(NPS_Data[[#This Row],[CleanRemark]]))),1))))</f>
        <v>22676</v>
      </c>
      <c r="Y131" s="2" t="str">
        <f>IF(COUNTIF(NPS_Data[Ticket No],NPS_Data[[#This Row],[Ticket No]])&gt;1,"Duplicate","OK")</f>
        <v>OK</v>
      </c>
      <c r="Z131" s="2" t="str">
        <f ca="1">IF(NPS_Data[[#This Row],[RemarkHash]]="","OK",
   IF(COUNTIF(NPS_Data[RemarkHash],NPS_Data[[#This Row],[RemarkHash]])&gt;1,"RepeatedRemark","OK"))</f>
        <v>OK</v>
      </c>
      <c r="AA131" s="17">
        <f>IF( AND( ISNUMBER(NPS_Data[[#This Row],[CreatedDateTime]]), ISNUMBER(NPS_Data[[#This Row],[ResolvedDateTime]]) ), (NPS_Data[[#This Row],[ResolvedDateTime]] - NPS_Data[[#This Row],[CreatedDateTime]]) * 24, 0 )</f>
        <v>118.26861111115431</v>
      </c>
      <c r="AB131" s="65" t="str">
        <f>IF(NOT(ISNA(NPS_Data[[#This Row],[CreatedDateTime]])),
   YEAR(NPS_Data[[#This Row],[CreatedDateTime]]) &amp; "-" &amp; TEXT(WEEKNUM(NPS_Data[[#This Row],[CreatedDateTime]],2),"00"),
   "")</f>
        <v>2025-32</v>
      </c>
      <c r="AC131" s="14" t="str">
        <f>IF(NOT(ISNA(NPS_Data[[#This Row],[CreatedDateTime]])), TEXT(NPS_Data[[#This Row],[CreatedDateTime]],"YYYY-MM"), "")</f>
        <v>2025-08</v>
      </c>
      <c r="AD131" s="14" t="str">
        <f>IF(NOT(ISNUMBER(NPS_Data[[#This Row],[ResolutionHours]])),"Open", IF(NPS_Data[[#This Row],[ResolutionHours]]&gt;72,"Breach","OK"))</f>
        <v>Breach</v>
      </c>
      <c r="AE131" s="14">
        <f>IF(AND(ISNUMBER(NPS_Data[[#This Row],[CreatedDateTime]]), ISNUMBER(NPS_Data[[#This Row],[ResolvedDateTime]])), 1, 0)</f>
        <v>1</v>
      </c>
      <c r="AF131" s="48" t="str">
        <f>IF(NOT(ISNA(NPS_Data[[#This Row],[CreatedDateTime]])), TEXT(NPS_Data[[#This Row],[CreatedDateTime]],"dddd"), "")</f>
        <v>Saturday</v>
      </c>
    </row>
    <row r="132" spans="1:32" x14ac:dyDescent="0.25">
      <c r="A132" s="2" t="s">
        <v>806</v>
      </c>
      <c r="B132" s="2" t="s">
        <v>396</v>
      </c>
      <c r="C132" s="2" t="s">
        <v>807</v>
      </c>
      <c r="D13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45874.581944444442</v>
      </c>
      <c r="E132" s="2" t="s">
        <v>35</v>
      </c>
      <c r="F132" s="2" t="s">
        <v>226</v>
      </c>
      <c r="G132" s="2" t="s">
        <v>808</v>
      </c>
      <c r="H132"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45884.71770833333</v>
      </c>
      <c r="I132" s="2" t="s">
        <v>23</v>
      </c>
      <c r="J132" s="2" t="s">
        <v>23</v>
      </c>
      <c r="K132" s="2" t="s">
        <v>88</v>
      </c>
      <c r="L132" s="2" t="s">
        <v>809</v>
      </c>
      <c r="M132" s="2" t="s">
        <v>810</v>
      </c>
      <c r="N132" s="2" t="s">
        <v>811</v>
      </c>
      <c r="O132" s="2" t="s">
        <v>177</v>
      </c>
      <c r="P132" s="2" t="s">
        <v>242</v>
      </c>
      <c r="Q132" s="3">
        <v>1</v>
      </c>
      <c r="R132" s="2" t="s">
        <v>30</v>
      </c>
      <c r="S132" s="2" t="s">
        <v>31</v>
      </c>
      <c r="T132" s="2" t="str">
        <f>IF(OR(NPS_Data[[#This Row],[CreatedDateTime]]="",NPS_Data[[#This Row],[Assigned To]]="",NPS_Data[[#This Row],[Issue 2 - NPS]]="",NPS_Data[[#This Row],[Program Name]]=""),"Missing","OK")</f>
        <v>OK</v>
      </c>
      <c r="U132" s="2" t="str">
        <f>IF(
  AND(NPS_Data[[#This Row],[Status]]="Complete", OR(ISNA(NPS_Data[[#This Row],[ResolvedDateTime]]), ISBLANK(NPS_Data[[#This Row],[ResolvedDateTime]]))),
  "CompleteNoResolved",
  IF(
    AND(NPS_Data[[#This Row],[Status]]="Pending", NPS_Data[[#This Row],[Sub Status]]="Solved"),
    "PendingButSolved",
    "OK"
  )
)</f>
        <v>OK</v>
      </c>
      <c r="V13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32" s="2" t="str">
        <f>IFERROR(TRIM(CLEAN(NPS_Data[[#This Row],[Ticket All Remarks]])),"")</f>
        <v>Transitioning from mechanical engineering to software development. Resume lacks relevant projects and recruiters doubt career change authenticity. || Resolution: Created transition portfolio with domain-crossover projects</v>
      </c>
      <c r="X132" s="2" cm="1">
        <f t="array" aca="1" ref="X132" ca="1">IF(NPS_Data[[#This Row],[CleanRemark]]="","",
   SUMPRODUCT(CODE(MID(NPS_Data[[#This Row],[CleanRemark]],ROW(INDIRECT("1:"&amp;LEN(NPS_Data[[#This Row],[CleanRemark]]))),1))))</f>
        <v>21704</v>
      </c>
      <c r="Y132" s="2" t="str">
        <f>IF(COUNTIF(NPS_Data[Ticket No],NPS_Data[[#This Row],[Ticket No]])&gt;1,"Duplicate","OK")</f>
        <v>OK</v>
      </c>
      <c r="Z132" s="2" t="str">
        <f ca="1">IF(NPS_Data[[#This Row],[RemarkHash]]="","OK",
   IF(COUNTIF(NPS_Data[RemarkHash],NPS_Data[[#This Row],[RemarkHash]])&gt;1,"RepeatedRemark","OK"))</f>
        <v>RepeatedRemark</v>
      </c>
      <c r="AA132" s="17">
        <f>IF( AND( ISNUMBER(NPS_Data[[#This Row],[CreatedDateTime]]), ISNUMBER(NPS_Data[[#This Row],[ResolvedDateTime]]) ), (NPS_Data[[#This Row],[ResolvedDateTime]] - NPS_Data[[#This Row],[CreatedDateTime]]) * 24, 0 )</f>
        <v>243.25833333330229</v>
      </c>
      <c r="AB132" s="65" t="str">
        <f>IF(NOT(ISNA(NPS_Data[[#This Row],[CreatedDateTime]])),
   YEAR(NPS_Data[[#This Row],[CreatedDateTime]]) &amp; "-" &amp; TEXT(WEEKNUM(NPS_Data[[#This Row],[CreatedDateTime]],2),"00"),
   "")</f>
        <v>2025-32</v>
      </c>
      <c r="AC132" s="14" t="str">
        <f>IF(NOT(ISNA(NPS_Data[[#This Row],[CreatedDateTime]])), TEXT(NPS_Data[[#This Row],[CreatedDateTime]],"YYYY-MM"), "")</f>
        <v>2025-08</v>
      </c>
      <c r="AD132" s="14" t="str">
        <f>IF(NOT(ISNUMBER(NPS_Data[[#This Row],[ResolutionHours]])),"Open", IF(NPS_Data[[#This Row],[ResolutionHours]]&gt;72,"Breach","OK"))</f>
        <v>Breach</v>
      </c>
      <c r="AE132" s="14">
        <f>IF(AND(ISNUMBER(NPS_Data[[#This Row],[CreatedDateTime]]), ISNUMBER(NPS_Data[[#This Row],[ResolvedDateTime]])), 1, 0)</f>
        <v>1</v>
      </c>
      <c r="AF132" s="48" t="str">
        <f>IF(NOT(ISNA(NPS_Data[[#This Row],[CreatedDateTime]])), TEXT(NPS_Data[[#This Row],[CreatedDateTime]],"dddd"), "")</f>
        <v>Tuesday</v>
      </c>
    </row>
    <row r="133" spans="1:32" x14ac:dyDescent="0.25">
      <c r="A133" s="2" t="s">
        <v>812</v>
      </c>
      <c r="B133" s="2" t="s">
        <v>813</v>
      </c>
      <c r="C133" s="2" t="s">
        <v>814</v>
      </c>
      <c r="D13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45895.645532407405</v>
      </c>
      <c r="E133" s="2" t="s">
        <v>167</v>
      </c>
      <c r="H133"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33" s="2" t="s">
        <v>23</v>
      </c>
      <c r="J133" s="2" t="s">
        <v>23</v>
      </c>
      <c r="K133" s="2" t="s">
        <v>38</v>
      </c>
      <c r="L133" s="2" t="s">
        <v>815</v>
      </c>
      <c r="M133" s="2" t="s">
        <v>816</v>
      </c>
      <c r="N133" s="2" t="s">
        <v>749</v>
      </c>
      <c r="O133" s="2" t="s">
        <v>48</v>
      </c>
      <c r="P133" s="2" t="s">
        <v>158</v>
      </c>
      <c r="Q133" s="3">
        <v>6</v>
      </c>
      <c r="R133" s="2" t="s">
        <v>49</v>
      </c>
      <c r="S133" s="2" t="s">
        <v>50</v>
      </c>
      <c r="T133" s="2" t="str">
        <f>IF(OR(NPS_Data[[#This Row],[CreatedDateTime]]="",NPS_Data[[#This Row],[Assigned To]]="",NPS_Data[[#This Row],[Issue 2 - NPS]]="",NPS_Data[[#This Row],[Program Name]]=""),"Missing","OK")</f>
        <v>OK</v>
      </c>
      <c r="U133" s="2" t="str">
        <f>IF(
  AND(NPS_Data[[#This Row],[Status]]="Complete", OR(ISNA(NPS_Data[[#This Row],[ResolvedDateTime]]), ISBLANK(NPS_Data[[#This Row],[ResolvedDateTime]]))),
  "CompleteNoResolved",
  IF(
    AND(NPS_Data[[#This Row],[Status]]="Pending", NPS_Data[[#This Row],[Sub Status]]="Solved"),
    "PendingButSolved",
    "OK"
  )
)</f>
        <v>OK</v>
      </c>
      <c r="V13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33" s="2" t="str">
        <f>IFERROR(TRIM(CLEAN(NPS_Data[[#This Row],[Ticket All Remarks]])),"")</f>
        <v>Weekend AIML Aug25 timing (10 AM - 2 PM) conflicts with family time. Children's activities and household responsibilities suffer due to class schedule. || Resolution: Created flexible weekend options with shorter session formats</v>
      </c>
      <c r="X133" s="2" cm="1">
        <f t="array" aca="1" ref="X133" ca="1">IF(NPS_Data[[#This Row],[CleanRemark]]="","",
   SUMPRODUCT(CODE(MID(NPS_Data[[#This Row],[CleanRemark]],ROW(INDIRECT("1:"&amp;LEN(NPS_Data[[#This Row],[CleanRemark]]))),1))))</f>
        <v>21028</v>
      </c>
      <c r="Y133" s="2" t="str">
        <f>IF(COUNTIF(NPS_Data[Ticket No],NPS_Data[[#This Row],[Ticket No]])&gt;1,"Duplicate","OK")</f>
        <v>OK</v>
      </c>
      <c r="Z133" s="2" t="str">
        <f ca="1">IF(NPS_Data[[#This Row],[RemarkHash]]="","OK",
   IF(COUNTIF(NPS_Data[RemarkHash],NPS_Data[[#This Row],[RemarkHash]])&gt;1,"RepeatedRemark","OK"))</f>
        <v>RepeatedRemark</v>
      </c>
      <c r="AA133" s="17">
        <f>IF( AND( ISNUMBER(NPS_Data[[#This Row],[CreatedDateTime]]), ISNUMBER(NPS_Data[[#This Row],[ResolvedDateTime]]) ), (NPS_Data[[#This Row],[ResolvedDateTime]] - NPS_Data[[#This Row],[CreatedDateTime]]) * 24, 0 )</f>
        <v>0</v>
      </c>
      <c r="AB133" s="65" t="str">
        <f>IF(NOT(ISNA(NPS_Data[[#This Row],[CreatedDateTime]])),
   YEAR(NPS_Data[[#This Row],[CreatedDateTime]]) &amp; "-" &amp; TEXT(WEEKNUM(NPS_Data[[#This Row],[CreatedDateTime]],2),"00"),
   "")</f>
        <v>2025-35</v>
      </c>
      <c r="AC133" s="14" t="str">
        <f>IF(NOT(ISNA(NPS_Data[[#This Row],[CreatedDateTime]])), TEXT(NPS_Data[[#This Row],[CreatedDateTime]],"YYYY-MM"), "")</f>
        <v>2025-08</v>
      </c>
      <c r="AD133" s="14" t="str">
        <f>IF(NOT(ISNUMBER(NPS_Data[[#This Row],[ResolutionHours]])),"Open", IF(NPS_Data[[#This Row],[ResolutionHours]]&gt;72,"Breach","OK"))</f>
        <v>OK</v>
      </c>
      <c r="AE133" s="14">
        <f>IF(AND(ISNUMBER(NPS_Data[[#This Row],[CreatedDateTime]]), ISNUMBER(NPS_Data[[#This Row],[ResolvedDateTime]])), 1, 0)</f>
        <v>0</v>
      </c>
      <c r="AF133" s="48" t="str">
        <f>IF(NOT(ISNA(NPS_Data[[#This Row],[CreatedDateTime]])), TEXT(NPS_Data[[#This Row],[CreatedDateTime]],"dddd"), "")</f>
        <v>Tuesday</v>
      </c>
    </row>
    <row r="134" spans="1:32" x14ac:dyDescent="0.25">
      <c r="A134" s="2" t="s">
        <v>817</v>
      </c>
      <c r="B134" s="2" t="s">
        <v>735</v>
      </c>
      <c r="C134" s="2" t="s">
        <v>818</v>
      </c>
      <c r="D13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45876.516203703701</v>
      </c>
      <c r="E134" s="2" t="s">
        <v>104</v>
      </c>
      <c r="H134"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34" s="2" t="s">
        <v>23</v>
      </c>
      <c r="J134" s="2" t="s">
        <v>23</v>
      </c>
      <c r="K134" s="2" t="s">
        <v>88</v>
      </c>
      <c r="L134" s="2" t="s">
        <v>819</v>
      </c>
      <c r="M134" s="2" t="s">
        <v>820</v>
      </c>
      <c r="N134" s="2" t="s">
        <v>439</v>
      </c>
      <c r="O134" s="2" t="s">
        <v>41</v>
      </c>
      <c r="P134" s="2" t="s">
        <v>242</v>
      </c>
      <c r="Q134" s="3">
        <v>5</v>
      </c>
      <c r="R134" s="2" t="s">
        <v>49</v>
      </c>
      <c r="S134" s="2" t="s">
        <v>50</v>
      </c>
      <c r="T134" s="2" t="str">
        <f>IF(OR(NPS_Data[[#This Row],[CreatedDateTime]]="",NPS_Data[[#This Row],[Assigned To]]="",NPS_Data[[#This Row],[Issue 2 - NPS]]="",NPS_Data[[#This Row],[Program Name]]=""),"Missing","OK")</f>
        <v>OK</v>
      </c>
      <c r="U134" s="2" t="str">
        <f>IF(
  AND(NPS_Data[[#This Row],[Status]]="Complete", OR(ISNA(NPS_Data[[#This Row],[ResolvedDateTime]]), ISBLANK(NPS_Data[[#This Row],[ResolvedDateTime]]))),
  "CompleteNoResolved",
  IF(
    AND(NPS_Data[[#This Row],[Status]]="Pending", NPS_Data[[#This Row],[Sub Status]]="Solved"),
    "PendingButSolved",
    "OK"
  )
)</f>
        <v>OK</v>
      </c>
      <c r="V13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34" s="2" t="str">
        <f>IFERROR(TRIM(CLEAN(NPS_Data[[#This Row],[Ticket All Remarks]])),"")</f>
        <v>Career gap of 18 months for personal reasons creating red flags. Recruiters question commitment and skill currency despite recent course completion. || Resolution: Developed gap explanation strategy and skill demonstration projects</v>
      </c>
      <c r="X134" s="2" cm="1">
        <f t="array" aca="1" ref="X134" ca="1">IF(NPS_Data[[#This Row],[CleanRemark]]="","",
   SUMPRODUCT(CODE(MID(NPS_Data[[#This Row],[CleanRemark]],ROW(INDIRECT("1:"&amp;LEN(NPS_Data[[#This Row],[CleanRemark]]))),1))))</f>
        <v>22299</v>
      </c>
      <c r="Y134" s="2" t="str">
        <f>IF(COUNTIF(NPS_Data[Ticket No],NPS_Data[[#This Row],[Ticket No]])&gt;1,"Duplicate","OK")</f>
        <v>OK</v>
      </c>
      <c r="Z134" s="2" t="str">
        <f ca="1">IF(NPS_Data[[#This Row],[RemarkHash]]="","OK",
   IF(COUNTIF(NPS_Data[RemarkHash],NPS_Data[[#This Row],[RemarkHash]])&gt;1,"RepeatedRemark","OK"))</f>
        <v>RepeatedRemark</v>
      </c>
      <c r="AA134" s="17">
        <f>IF( AND( ISNUMBER(NPS_Data[[#This Row],[CreatedDateTime]]), ISNUMBER(NPS_Data[[#This Row],[ResolvedDateTime]]) ), (NPS_Data[[#This Row],[ResolvedDateTime]] - NPS_Data[[#This Row],[CreatedDateTime]]) * 24, 0 )</f>
        <v>0</v>
      </c>
      <c r="AB134" s="65" t="str">
        <f>IF(NOT(ISNA(NPS_Data[[#This Row],[CreatedDateTime]])),
   YEAR(NPS_Data[[#This Row],[CreatedDateTime]]) &amp; "-" &amp; TEXT(WEEKNUM(NPS_Data[[#This Row],[CreatedDateTime]],2),"00"),
   "")</f>
        <v>2025-32</v>
      </c>
      <c r="AC134" s="14" t="str">
        <f>IF(NOT(ISNA(NPS_Data[[#This Row],[CreatedDateTime]])), TEXT(NPS_Data[[#This Row],[CreatedDateTime]],"YYYY-MM"), "")</f>
        <v>2025-08</v>
      </c>
      <c r="AD134" s="14" t="str">
        <f>IF(NOT(ISNUMBER(NPS_Data[[#This Row],[ResolutionHours]])),"Open", IF(NPS_Data[[#This Row],[ResolutionHours]]&gt;72,"Breach","OK"))</f>
        <v>OK</v>
      </c>
      <c r="AE134" s="14">
        <f>IF(AND(ISNUMBER(NPS_Data[[#This Row],[CreatedDateTime]]), ISNUMBER(NPS_Data[[#This Row],[ResolvedDateTime]])), 1, 0)</f>
        <v>0</v>
      </c>
      <c r="AF134" s="48" t="str">
        <f>IF(NOT(ISNA(NPS_Data[[#This Row],[CreatedDateTime]])), TEXT(NPS_Data[[#This Row],[CreatedDateTime]],"dddd"), "")</f>
        <v>Thursday</v>
      </c>
    </row>
    <row r="135" spans="1:32" x14ac:dyDescent="0.25">
      <c r="A135" s="2" t="s">
        <v>821</v>
      </c>
      <c r="B135" s="2" t="s">
        <v>257</v>
      </c>
      <c r="C135" s="2" t="s">
        <v>822</v>
      </c>
      <c r="D13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45905.466909722221</v>
      </c>
      <c r="E135" s="2" t="s">
        <v>35</v>
      </c>
      <c r="H135"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35" s="2" t="s">
        <v>23</v>
      </c>
      <c r="J135" s="2" t="s">
        <v>23</v>
      </c>
      <c r="K135" s="2" t="s">
        <v>88</v>
      </c>
      <c r="L135" s="2" t="s">
        <v>823</v>
      </c>
      <c r="M135" s="2" t="s">
        <v>824</v>
      </c>
      <c r="N135" s="2" t="s">
        <v>721</v>
      </c>
      <c r="O135" s="2" t="s">
        <v>41</v>
      </c>
      <c r="P135" s="2" t="s">
        <v>132</v>
      </c>
      <c r="Q135" s="3">
        <v>2</v>
      </c>
      <c r="R135" s="2" t="s">
        <v>49</v>
      </c>
      <c r="S135" s="2" t="s">
        <v>50</v>
      </c>
      <c r="T135" s="2" t="str">
        <f>IF(OR(NPS_Data[[#This Row],[CreatedDateTime]]="",NPS_Data[[#This Row],[Assigned To]]="",NPS_Data[[#This Row],[Issue 2 - NPS]]="",NPS_Data[[#This Row],[Program Name]]=""),"Missing","OK")</f>
        <v>OK</v>
      </c>
      <c r="U135" s="2" t="str">
        <f>IF(
  AND(NPS_Data[[#This Row],[Status]]="Complete", OR(ISNA(NPS_Data[[#This Row],[ResolvedDateTime]]), ISBLANK(NPS_Data[[#This Row],[ResolvedDateTime]]))),
  "CompleteNoResolved",
  IF(
    AND(NPS_Data[[#This Row],[Status]]="Pending", NPS_Data[[#This Row],[Sub Status]]="Solved"),
    "PendingButSolved",
    "OK"
  )
)</f>
        <v>OK</v>
      </c>
      <c r="V13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35" s="2" t="str">
        <f>IFERROR(TRIM(CLEAN(NPS_Data[[#This Row],[Ticket All Remarks]])),"")</f>
        <v>Previous employment gap of 3 years due to child care responsibilities creates placement barrier. Returning mothers face additional discrimination. || Resolution: Partnered with diversity-focused companies supporting career restart initiatives</v>
      </c>
      <c r="X135" s="2" cm="1">
        <f t="array" aca="1" ref="X135" ca="1">IF(NPS_Data[[#This Row],[CleanRemark]]="","",
   SUMPRODUCT(CODE(MID(NPS_Data[[#This Row],[CleanRemark]],ROW(INDIRECT("1:"&amp;LEN(NPS_Data[[#This Row],[CleanRemark]]))),1))))</f>
        <v>23605</v>
      </c>
      <c r="Y135" s="2" t="str">
        <f>IF(COUNTIF(NPS_Data[Ticket No],NPS_Data[[#This Row],[Ticket No]])&gt;1,"Duplicate","OK")</f>
        <v>OK</v>
      </c>
      <c r="Z135" s="2" t="str">
        <f ca="1">IF(NPS_Data[[#This Row],[RemarkHash]]="","OK",
   IF(COUNTIF(NPS_Data[RemarkHash],NPS_Data[[#This Row],[RemarkHash]])&gt;1,"RepeatedRemark","OK"))</f>
        <v>RepeatedRemark</v>
      </c>
      <c r="AA135" s="17">
        <f>IF( AND( ISNUMBER(NPS_Data[[#This Row],[CreatedDateTime]]), ISNUMBER(NPS_Data[[#This Row],[ResolvedDateTime]]) ), (NPS_Data[[#This Row],[ResolvedDateTime]] - NPS_Data[[#This Row],[CreatedDateTime]]) * 24, 0 )</f>
        <v>0</v>
      </c>
      <c r="AB135" s="65" t="str">
        <f>IF(NOT(ISNA(NPS_Data[[#This Row],[CreatedDateTime]])),
   YEAR(NPS_Data[[#This Row],[CreatedDateTime]]) &amp; "-" &amp; TEXT(WEEKNUM(NPS_Data[[#This Row],[CreatedDateTime]],2),"00"),
   "")</f>
        <v>2025-36</v>
      </c>
      <c r="AC135" s="14" t="str">
        <f>IF(NOT(ISNA(NPS_Data[[#This Row],[CreatedDateTime]])), TEXT(NPS_Data[[#This Row],[CreatedDateTime]],"YYYY-MM"), "")</f>
        <v>2025-09</v>
      </c>
      <c r="AD135" s="14" t="str">
        <f>IF(NOT(ISNUMBER(NPS_Data[[#This Row],[ResolutionHours]])),"Open", IF(NPS_Data[[#This Row],[ResolutionHours]]&gt;72,"Breach","OK"))</f>
        <v>OK</v>
      </c>
      <c r="AE135" s="14">
        <f>IF(AND(ISNUMBER(NPS_Data[[#This Row],[CreatedDateTime]]), ISNUMBER(NPS_Data[[#This Row],[ResolvedDateTime]])), 1, 0)</f>
        <v>0</v>
      </c>
      <c r="AF135" s="48" t="str">
        <f>IF(NOT(ISNA(NPS_Data[[#This Row],[CreatedDateTime]])), TEXT(NPS_Data[[#This Row],[CreatedDateTime]],"dddd"), "")</f>
        <v>Friday</v>
      </c>
    </row>
    <row r="136" spans="1:32" x14ac:dyDescent="0.25">
      <c r="A136" s="2" t="s">
        <v>825</v>
      </c>
      <c r="B136" s="2" t="s">
        <v>52</v>
      </c>
      <c r="C136" s="2" t="s">
        <v>826</v>
      </c>
      <c r="D13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45913.490671296298</v>
      </c>
      <c r="E136" s="2" t="s">
        <v>87</v>
      </c>
      <c r="F136" s="2" t="s">
        <v>63</v>
      </c>
      <c r="G136" s="2" t="s">
        <v>827</v>
      </c>
      <c r="H136"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45921.686921296299</v>
      </c>
      <c r="I136" s="2" t="s">
        <v>23</v>
      </c>
      <c r="J136" s="2" t="s">
        <v>23</v>
      </c>
      <c r="K136" s="2" t="s">
        <v>88</v>
      </c>
      <c r="L136" s="2" t="s">
        <v>828</v>
      </c>
      <c r="M136" s="2" t="s">
        <v>829</v>
      </c>
      <c r="N136" s="2" t="s">
        <v>721</v>
      </c>
      <c r="O136" s="2" t="s">
        <v>48</v>
      </c>
      <c r="P136" s="2" t="s">
        <v>132</v>
      </c>
      <c r="Q136" s="3">
        <v>1</v>
      </c>
      <c r="R136" s="2" t="s">
        <v>30</v>
      </c>
      <c r="S136" s="2" t="s">
        <v>31</v>
      </c>
      <c r="T136" s="2" t="str">
        <f>IF(OR(NPS_Data[[#This Row],[CreatedDateTime]]="",NPS_Data[[#This Row],[Assigned To]]="",NPS_Data[[#This Row],[Issue 2 - NPS]]="",NPS_Data[[#This Row],[Program Name]]=""),"Missing","OK")</f>
        <v>OK</v>
      </c>
      <c r="U136" s="2" t="str">
        <f>IF(
  AND(NPS_Data[[#This Row],[Status]]="Complete", OR(ISNA(NPS_Data[[#This Row],[ResolvedDateTime]]), ISBLANK(NPS_Data[[#This Row],[ResolvedDateTime]]))),
  "CompleteNoResolved",
  IF(
    AND(NPS_Data[[#This Row],[Status]]="Pending", NPS_Data[[#This Row],[Sub Status]]="Solved"),
    "PendingButSolved",
    "OK"
  )
)</f>
        <v>OK</v>
      </c>
      <c r="V13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36" s="2" t="str">
        <f>IFERROR(TRIM(CLEAN(NPS_Data[[#This Row],[Ticket All Remarks]])),"")</f>
        <v>Previous employment gap of 3 years due to child care responsibilities creates placement barrier. Returning mothers face additional discrimination. || Resolution: Partnered with diversity-focused companies supporting career restart initiatives</v>
      </c>
      <c r="X136" s="2" cm="1">
        <f t="array" aca="1" ref="X136" ca="1">IF(NPS_Data[[#This Row],[CleanRemark]]="","",
   SUMPRODUCT(CODE(MID(NPS_Data[[#This Row],[CleanRemark]],ROW(INDIRECT("1:"&amp;LEN(NPS_Data[[#This Row],[CleanRemark]]))),1))))</f>
        <v>23605</v>
      </c>
      <c r="Y136" s="2" t="str">
        <f>IF(COUNTIF(NPS_Data[Ticket No],NPS_Data[[#This Row],[Ticket No]])&gt;1,"Duplicate","OK")</f>
        <v>OK</v>
      </c>
      <c r="Z136" s="2" t="str">
        <f ca="1">IF(NPS_Data[[#This Row],[RemarkHash]]="","OK",
   IF(COUNTIF(NPS_Data[RemarkHash],NPS_Data[[#This Row],[RemarkHash]])&gt;1,"RepeatedRemark","OK"))</f>
        <v>RepeatedRemark</v>
      </c>
      <c r="AA136" s="17">
        <f>IF( AND( ISNUMBER(NPS_Data[[#This Row],[CreatedDateTime]]), ISNUMBER(NPS_Data[[#This Row],[ResolvedDateTime]]) ), (NPS_Data[[#This Row],[ResolvedDateTime]] - NPS_Data[[#This Row],[CreatedDateTime]]) * 24, 0 )</f>
        <v>196.71000000002095</v>
      </c>
      <c r="AB136" s="65" t="str">
        <f>IF(NOT(ISNA(NPS_Data[[#This Row],[CreatedDateTime]])),
   YEAR(NPS_Data[[#This Row],[CreatedDateTime]]) &amp; "-" &amp; TEXT(WEEKNUM(NPS_Data[[#This Row],[CreatedDateTime]],2),"00"),
   "")</f>
        <v>2025-37</v>
      </c>
      <c r="AC136" s="14" t="str">
        <f>IF(NOT(ISNA(NPS_Data[[#This Row],[CreatedDateTime]])), TEXT(NPS_Data[[#This Row],[CreatedDateTime]],"YYYY-MM"), "")</f>
        <v>2025-09</v>
      </c>
      <c r="AD136" s="14" t="str">
        <f>IF(NOT(ISNUMBER(NPS_Data[[#This Row],[ResolutionHours]])),"Open", IF(NPS_Data[[#This Row],[ResolutionHours]]&gt;72,"Breach","OK"))</f>
        <v>Breach</v>
      </c>
      <c r="AE136" s="14">
        <f>IF(AND(ISNUMBER(NPS_Data[[#This Row],[CreatedDateTime]]), ISNUMBER(NPS_Data[[#This Row],[ResolvedDateTime]])), 1, 0)</f>
        <v>1</v>
      </c>
      <c r="AF136" s="48" t="str">
        <f>IF(NOT(ISNA(NPS_Data[[#This Row],[CreatedDateTime]])), TEXT(NPS_Data[[#This Row],[CreatedDateTime]],"dddd"), "")</f>
        <v>Saturday</v>
      </c>
    </row>
    <row r="137" spans="1:32" x14ac:dyDescent="0.25">
      <c r="A137" s="2" t="s">
        <v>830</v>
      </c>
      <c r="B137" s="2" t="s">
        <v>36</v>
      </c>
      <c r="C137" s="2" t="s">
        <v>831</v>
      </c>
      <c r="D13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45912.839583333334</v>
      </c>
      <c r="E137" s="2" t="s">
        <v>35</v>
      </c>
      <c r="F137" s="2" t="s">
        <v>52</v>
      </c>
      <c r="G137" s="2" t="s">
        <v>832</v>
      </c>
      <c r="H137"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45913.631168981483</v>
      </c>
      <c r="I137" s="2" t="s">
        <v>23</v>
      </c>
      <c r="J137" s="2" t="s">
        <v>23</v>
      </c>
      <c r="K137" s="2" t="s">
        <v>88</v>
      </c>
      <c r="L137" s="2" t="s">
        <v>828</v>
      </c>
      <c r="M137" s="2" t="s">
        <v>833</v>
      </c>
      <c r="N137" s="2" t="s">
        <v>551</v>
      </c>
      <c r="O137" s="2" t="s">
        <v>177</v>
      </c>
      <c r="P137" s="2" t="s">
        <v>189</v>
      </c>
      <c r="Q137" s="3">
        <v>6</v>
      </c>
      <c r="R137" s="2" t="s">
        <v>30</v>
      </c>
      <c r="S137" s="2" t="s">
        <v>31</v>
      </c>
      <c r="T137" s="2" t="str">
        <f>IF(OR(NPS_Data[[#This Row],[CreatedDateTime]]="",NPS_Data[[#This Row],[Assigned To]]="",NPS_Data[[#This Row],[Issue 2 - NPS]]="",NPS_Data[[#This Row],[Program Name]]=""),"Missing","OK")</f>
        <v>OK</v>
      </c>
      <c r="U137" s="2" t="str">
        <f>IF(
  AND(NPS_Data[[#This Row],[Status]]="Complete", OR(ISNA(NPS_Data[[#This Row],[ResolvedDateTime]]), ISBLANK(NPS_Data[[#This Row],[ResolvedDateTime]]))),
  "CompleteNoResolved",
  IF(
    AND(NPS_Data[[#This Row],[Status]]="Pending", NPS_Data[[#This Row],[Sub Status]]="Solved"),
    "PendingButSolved",
    "OK"
  )
)</f>
        <v>OK</v>
      </c>
      <c r="V13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37" s="2" t="str">
        <f>IFERROR(TRIM(CLEAN(NPS_Data[[#This Row],[Ticket All Remarks]])),"")</f>
        <v>Appearing for interviews but consistently failing in system design rounds. Completed course but still struggle with scalability and architecture questions. || Resolution: Arranged advanced system design workshops with industry architects</v>
      </c>
      <c r="X137" s="2" cm="1">
        <f t="array" aca="1" ref="X137" ca="1">IF(NPS_Data[[#This Row],[CleanRemark]]="","",
   SUMPRODUCT(CODE(MID(NPS_Data[[#This Row],[CleanRemark]],ROW(INDIRECT("1:"&amp;LEN(NPS_Data[[#This Row],[CleanRemark]]))),1))))</f>
        <v>23234</v>
      </c>
      <c r="Y137" s="2" t="str">
        <f>IF(COUNTIF(NPS_Data[Ticket No],NPS_Data[[#This Row],[Ticket No]])&gt;1,"Duplicate","OK")</f>
        <v>OK</v>
      </c>
      <c r="Z137" s="2" t="str">
        <f ca="1">IF(NPS_Data[[#This Row],[RemarkHash]]="","OK",
   IF(COUNTIF(NPS_Data[RemarkHash],NPS_Data[[#This Row],[RemarkHash]])&gt;1,"RepeatedRemark","OK"))</f>
        <v>RepeatedRemark</v>
      </c>
      <c r="AA137" s="17">
        <f>IF( AND( ISNUMBER(NPS_Data[[#This Row],[CreatedDateTime]]), ISNUMBER(NPS_Data[[#This Row],[ResolvedDateTime]]) ), (NPS_Data[[#This Row],[ResolvedDateTime]] - NPS_Data[[#This Row],[CreatedDateTime]]) * 24, 0 )</f>
        <v>18.99805555556668</v>
      </c>
      <c r="AB137" s="65" t="str">
        <f>IF(NOT(ISNA(NPS_Data[[#This Row],[CreatedDateTime]])),
   YEAR(NPS_Data[[#This Row],[CreatedDateTime]]) &amp; "-" &amp; TEXT(WEEKNUM(NPS_Data[[#This Row],[CreatedDateTime]],2),"00"),
   "")</f>
        <v>2025-37</v>
      </c>
      <c r="AC137" s="14" t="str">
        <f>IF(NOT(ISNA(NPS_Data[[#This Row],[CreatedDateTime]])), TEXT(NPS_Data[[#This Row],[CreatedDateTime]],"YYYY-MM"), "")</f>
        <v>2025-09</v>
      </c>
      <c r="AD137" s="14" t="str">
        <f>IF(NOT(ISNUMBER(NPS_Data[[#This Row],[ResolutionHours]])),"Open", IF(NPS_Data[[#This Row],[ResolutionHours]]&gt;72,"Breach","OK"))</f>
        <v>OK</v>
      </c>
      <c r="AE137" s="14">
        <f>IF(AND(ISNUMBER(NPS_Data[[#This Row],[CreatedDateTime]]), ISNUMBER(NPS_Data[[#This Row],[ResolvedDateTime]])), 1, 0)</f>
        <v>1</v>
      </c>
      <c r="AF137" s="48" t="str">
        <f>IF(NOT(ISNA(NPS_Data[[#This Row],[CreatedDateTime]])), TEXT(NPS_Data[[#This Row],[CreatedDateTime]],"dddd"), "")</f>
        <v>Friday</v>
      </c>
    </row>
    <row r="138" spans="1:32" x14ac:dyDescent="0.25">
      <c r="A138" s="2" t="s">
        <v>834</v>
      </c>
      <c r="B138" s="2" t="s">
        <v>36</v>
      </c>
      <c r="C138" s="2" t="s">
        <v>835</v>
      </c>
      <c r="D13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45912.399016203701</v>
      </c>
      <c r="E138" s="2" t="s">
        <v>104</v>
      </c>
      <c r="H138"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38" s="2" t="s">
        <v>23</v>
      </c>
      <c r="J138" s="2" t="s">
        <v>23</v>
      </c>
      <c r="K138" s="2" t="s">
        <v>24</v>
      </c>
      <c r="L138" s="2" t="s">
        <v>836</v>
      </c>
      <c r="M138" s="2" t="s">
        <v>837</v>
      </c>
      <c r="N138" s="2" t="s">
        <v>207</v>
      </c>
      <c r="O138" s="2" t="s">
        <v>41</v>
      </c>
      <c r="P138" s="2" t="s">
        <v>125</v>
      </c>
      <c r="Q138" s="3">
        <v>7</v>
      </c>
      <c r="R138" s="2" t="s">
        <v>49</v>
      </c>
      <c r="S138" s="2" t="s">
        <v>116</v>
      </c>
      <c r="T138" s="2" t="str">
        <f>IF(OR(NPS_Data[[#This Row],[CreatedDateTime]]="",NPS_Data[[#This Row],[Assigned To]]="",NPS_Data[[#This Row],[Issue 2 - NPS]]="",NPS_Data[[#This Row],[Program Name]]=""),"Missing","OK")</f>
        <v>OK</v>
      </c>
      <c r="U138" s="2" t="str">
        <f>IF(
  AND(NPS_Data[[#This Row],[Status]]="Complete", OR(ISNA(NPS_Data[[#This Row],[ResolvedDateTime]]), ISBLANK(NPS_Data[[#This Row],[ResolvedDateTime]]))),
  "CompleteNoResolved",
  IF(
    AND(NPS_Data[[#This Row],[Status]]="Pending", NPS_Data[[#This Row],[Sub Status]]="Solved"),
    "PendingButSolved",
    "OK"
  )
)</f>
        <v>OK</v>
      </c>
      <c r="V13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38" s="2" t="str">
        <f>IFERROR(TRIM(CLEAN(NPS_Data[[#This Row],[Ticket All Remarks]])),"")</f>
        <v>Language barrier with some TAs makes doubt sessions ineffective. Accent and communication style difficult to understand during technical explanations. || Resolution: Provided communication training and paired TAs with complementary strengths</v>
      </c>
      <c r="X138" s="2" cm="1">
        <f t="array" aca="1" ref="X138" ca="1">IF(NPS_Data[[#This Row],[CleanRemark]]="","",
   SUMPRODUCT(CODE(MID(NPS_Data[[#This Row],[CleanRemark]],ROW(INDIRECT("1:"&amp;LEN(NPS_Data[[#This Row],[CleanRemark]]))),1))))</f>
        <v>23351</v>
      </c>
      <c r="Y138" s="2" t="str">
        <f>IF(COUNTIF(NPS_Data[Ticket No],NPS_Data[[#This Row],[Ticket No]])&gt;1,"Duplicate","OK")</f>
        <v>OK</v>
      </c>
      <c r="Z138" s="2" t="str">
        <f ca="1">IF(NPS_Data[[#This Row],[RemarkHash]]="","OK",
   IF(COUNTIF(NPS_Data[RemarkHash],NPS_Data[[#This Row],[RemarkHash]])&gt;1,"RepeatedRemark","OK"))</f>
        <v>RepeatedRemark</v>
      </c>
      <c r="AA138" s="17">
        <f>IF( AND( ISNUMBER(NPS_Data[[#This Row],[CreatedDateTime]]), ISNUMBER(NPS_Data[[#This Row],[ResolvedDateTime]]) ), (NPS_Data[[#This Row],[ResolvedDateTime]] - NPS_Data[[#This Row],[CreatedDateTime]]) * 24, 0 )</f>
        <v>0</v>
      </c>
      <c r="AB138" s="65" t="str">
        <f>IF(NOT(ISNA(NPS_Data[[#This Row],[CreatedDateTime]])),
   YEAR(NPS_Data[[#This Row],[CreatedDateTime]]) &amp; "-" &amp; TEXT(WEEKNUM(NPS_Data[[#This Row],[CreatedDateTime]],2),"00"),
   "")</f>
        <v>2025-37</v>
      </c>
      <c r="AC138" s="14" t="str">
        <f>IF(NOT(ISNA(NPS_Data[[#This Row],[CreatedDateTime]])), TEXT(NPS_Data[[#This Row],[CreatedDateTime]],"YYYY-MM"), "")</f>
        <v>2025-09</v>
      </c>
      <c r="AD138" s="14" t="str">
        <f>IF(NOT(ISNUMBER(NPS_Data[[#This Row],[ResolutionHours]])),"Open", IF(NPS_Data[[#This Row],[ResolutionHours]]&gt;72,"Breach","OK"))</f>
        <v>OK</v>
      </c>
      <c r="AE138" s="14">
        <f>IF(AND(ISNUMBER(NPS_Data[[#This Row],[CreatedDateTime]]), ISNUMBER(NPS_Data[[#This Row],[ResolvedDateTime]])), 1, 0)</f>
        <v>0</v>
      </c>
      <c r="AF138" s="48" t="str">
        <f>IF(NOT(ISNA(NPS_Data[[#This Row],[CreatedDateTime]])), TEXT(NPS_Data[[#This Row],[CreatedDateTime]],"dddd"), "")</f>
        <v>Friday</v>
      </c>
    </row>
    <row r="139" spans="1:32" x14ac:dyDescent="0.25">
      <c r="A139" s="2" t="s">
        <v>838</v>
      </c>
      <c r="B139" s="2" t="s">
        <v>33</v>
      </c>
      <c r="C139" s="2" t="s">
        <v>839</v>
      </c>
      <c r="D13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45902.457013888888</v>
      </c>
      <c r="E139" s="2" t="s">
        <v>80</v>
      </c>
      <c r="H139"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39" s="2" t="s">
        <v>23</v>
      </c>
      <c r="J139" s="2" t="s">
        <v>23</v>
      </c>
      <c r="K139" s="2" t="s">
        <v>38</v>
      </c>
      <c r="L139" s="2" t="s">
        <v>840</v>
      </c>
      <c r="M139" s="2" t="s">
        <v>841</v>
      </c>
      <c r="N139" s="2" t="s">
        <v>248</v>
      </c>
      <c r="O139" s="2" t="s">
        <v>41</v>
      </c>
      <c r="P139" s="2" t="s">
        <v>148</v>
      </c>
      <c r="Q139" s="3">
        <v>4</v>
      </c>
      <c r="R139" s="2" t="s">
        <v>49</v>
      </c>
      <c r="S139" s="2" t="s">
        <v>50</v>
      </c>
      <c r="T139" s="2" t="str">
        <f>IF(OR(NPS_Data[[#This Row],[CreatedDateTime]]="",NPS_Data[[#This Row],[Assigned To]]="",NPS_Data[[#This Row],[Issue 2 - NPS]]="",NPS_Data[[#This Row],[Program Name]]=""),"Missing","OK")</f>
        <v>OK</v>
      </c>
      <c r="U139" s="2" t="str">
        <f>IF(
  AND(NPS_Data[[#This Row],[Status]]="Complete", OR(ISNA(NPS_Data[[#This Row],[ResolvedDateTime]]), ISBLANK(NPS_Data[[#This Row],[ResolvedDateTime]]))),
  "CompleteNoResolved",
  IF(
    AND(NPS_Data[[#This Row],[Status]]="Pending", NPS_Data[[#This Row],[Sub Status]]="Solved"),
    "PendingButSolved",
    "OK"
  )
)</f>
        <v>OK</v>
      </c>
      <c r="V13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39" s="2" t="str">
        <f>IFERROR(TRIM(CLEAN(NPS_Data[[#This Row],[Ticket All Remarks]])),"")</f>
        <v>Mike Wilson uses outdated examples in Machine Learning classes. Still teaching scikit-learn 0.22 syntax when industry uses 1.3+. Students struggle with modern ML libraries. || Resolution: Updated all code examples to latest library versions</v>
      </c>
      <c r="X139" s="2" cm="1">
        <f t="array" aca="1" ref="X139" ca="1">IF(NPS_Data[[#This Row],[CleanRemark]]="","",
   SUMPRODUCT(CODE(MID(NPS_Data[[#This Row],[CleanRemark]],ROW(INDIRECT("1:"&amp;LEN(NPS_Data[[#This Row],[CleanRemark]]))),1))))</f>
        <v>22422</v>
      </c>
      <c r="Y139" s="2" t="str">
        <f>IF(COUNTIF(NPS_Data[Ticket No],NPS_Data[[#This Row],[Ticket No]])&gt;1,"Duplicate","OK")</f>
        <v>OK</v>
      </c>
      <c r="Z139" s="2" t="str">
        <f ca="1">IF(NPS_Data[[#This Row],[RemarkHash]]="","OK",
   IF(COUNTIF(NPS_Data[RemarkHash],NPS_Data[[#This Row],[RemarkHash]])&gt;1,"RepeatedRemark","OK"))</f>
        <v>RepeatedRemark</v>
      </c>
      <c r="AA139" s="17">
        <f>IF( AND( ISNUMBER(NPS_Data[[#This Row],[CreatedDateTime]]), ISNUMBER(NPS_Data[[#This Row],[ResolvedDateTime]]) ), (NPS_Data[[#This Row],[ResolvedDateTime]] - NPS_Data[[#This Row],[CreatedDateTime]]) * 24, 0 )</f>
        <v>0</v>
      </c>
      <c r="AB139" s="65" t="str">
        <f>IF(NOT(ISNA(NPS_Data[[#This Row],[CreatedDateTime]])),
   YEAR(NPS_Data[[#This Row],[CreatedDateTime]]) &amp; "-" &amp; TEXT(WEEKNUM(NPS_Data[[#This Row],[CreatedDateTime]],2),"00"),
   "")</f>
        <v>2025-36</v>
      </c>
      <c r="AC139" s="14" t="str">
        <f>IF(NOT(ISNA(NPS_Data[[#This Row],[CreatedDateTime]])), TEXT(NPS_Data[[#This Row],[CreatedDateTime]],"YYYY-MM"), "")</f>
        <v>2025-09</v>
      </c>
      <c r="AD139" s="14" t="str">
        <f>IF(NOT(ISNUMBER(NPS_Data[[#This Row],[ResolutionHours]])),"Open", IF(NPS_Data[[#This Row],[ResolutionHours]]&gt;72,"Breach","OK"))</f>
        <v>OK</v>
      </c>
      <c r="AE139" s="14">
        <f>IF(AND(ISNUMBER(NPS_Data[[#This Row],[CreatedDateTime]]), ISNUMBER(NPS_Data[[#This Row],[ResolvedDateTime]])), 1, 0)</f>
        <v>0</v>
      </c>
      <c r="AF139" s="48" t="str">
        <f>IF(NOT(ISNA(NPS_Data[[#This Row],[CreatedDateTime]])), TEXT(NPS_Data[[#This Row],[CreatedDateTime]],"dddd"), "")</f>
        <v>Tuesday</v>
      </c>
    </row>
    <row r="140" spans="1:32" x14ac:dyDescent="0.25">
      <c r="A140" s="2" t="s">
        <v>842</v>
      </c>
      <c r="B140" s="2" t="s">
        <v>18</v>
      </c>
      <c r="C140" s="2" t="s">
        <v>843</v>
      </c>
      <c r="D14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45892.572129629632</v>
      </c>
      <c r="E140" s="2" t="s">
        <v>20</v>
      </c>
      <c r="F140" s="2" t="s">
        <v>21</v>
      </c>
      <c r="G140" s="2" t="s">
        <v>844</v>
      </c>
      <c r="H140"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45899.432928240742</v>
      </c>
      <c r="I140" s="2" t="s">
        <v>23</v>
      </c>
      <c r="J140" s="2" t="s">
        <v>23</v>
      </c>
      <c r="K140" s="2" t="s">
        <v>88</v>
      </c>
      <c r="L140" s="2" t="s">
        <v>845</v>
      </c>
      <c r="M140" s="2" t="s">
        <v>846</v>
      </c>
      <c r="N140" s="2" t="s">
        <v>660</v>
      </c>
      <c r="O140" s="2" t="s">
        <v>41</v>
      </c>
      <c r="P140" s="2" t="s">
        <v>216</v>
      </c>
      <c r="Q140" s="3">
        <v>7</v>
      </c>
      <c r="R140" s="2" t="s">
        <v>30</v>
      </c>
      <c r="S140" s="2" t="s">
        <v>31</v>
      </c>
      <c r="T140" s="2" t="str">
        <f>IF(OR(NPS_Data[[#This Row],[CreatedDateTime]]="",NPS_Data[[#This Row],[Assigned To]]="",NPS_Data[[#This Row],[Issue 2 - NPS]]="",NPS_Data[[#This Row],[Program Name]]=""),"Missing","OK")</f>
        <v>OK</v>
      </c>
      <c r="U140" s="2" t="str">
        <f>IF(
  AND(NPS_Data[[#This Row],[Status]]="Complete", OR(ISNA(NPS_Data[[#This Row],[ResolvedDateTime]]), ISBLANK(NPS_Data[[#This Row],[ResolvedDateTime]]))),
  "CompleteNoResolved",
  IF(
    AND(NPS_Data[[#This Row],[Status]]="Pending", NPS_Data[[#This Row],[Sub Status]]="Solved"),
    "PendingButSolved",
    "OK"
  )
)</f>
        <v>OK</v>
      </c>
      <c r="V14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40" s="2" t="str">
        <f>IFERROR(TRIM(CLEAN(NPS_Data[[#This Row],[Ticket All Remarks]])),"")</f>
        <v>Mentor doesn't understand non-tech background. As commerce graduate transitioning to data science, need someone who understands career pivot challenges. || Resolution: Assigned mentor with similar career transition background</v>
      </c>
      <c r="X140" s="2" cm="1">
        <f t="array" aca="1" ref="X140" ca="1">IF(NPS_Data[[#This Row],[CleanRemark]]="","",
   SUMPRODUCT(CODE(MID(NPS_Data[[#This Row],[CleanRemark]],ROW(INDIRECT("1:"&amp;LEN(NPS_Data[[#This Row],[CleanRemark]]))),1))))</f>
        <v>21673</v>
      </c>
      <c r="Y140" s="2" t="str">
        <f>IF(COUNTIF(NPS_Data[Ticket No],NPS_Data[[#This Row],[Ticket No]])&gt;1,"Duplicate","OK")</f>
        <v>OK</v>
      </c>
      <c r="Z140" s="2" t="str">
        <f ca="1">IF(NPS_Data[[#This Row],[RemarkHash]]="","OK",
   IF(COUNTIF(NPS_Data[RemarkHash],NPS_Data[[#This Row],[RemarkHash]])&gt;1,"RepeatedRemark","OK"))</f>
        <v>RepeatedRemark</v>
      </c>
      <c r="AA140" s="17">
        <f>IF( AND( ISNUMBER(NPS_Data[[#This Row],[CreatedDateTime]]), ISNUMBER(NPS_Data[[#This Row],[ResolvedDateTime]]) ), (NPS_Data[[#This Row],[ResolvedDateTime]] - NPS_Data[[#This Row],[CreatedDateTime]]) * 24, 0 )</f>
        <v>164.65916666662088</v>
      </c>
      <c r="AB140" s="65" t="str">
        <f>IF(NOT(ISNA(NPS_Data[[#This Row],[CreatedDateTime]])),
   YEAR(NPS_Data[[#This Row],[CreatedDateTime]]) &amp; "-" &amp; TEXT(WEEKNUM(NPS_Data[[#This Row],[CreatedDateTime]],2),"00"),
   "")</f>
        <v>2025-34</v>
      </c>
      <c r="AC140" s="14" t="str">
        <f>IF(NOT(ISNA(NPS_Data[[#This Row],[CreatedDateTime]])), TEXT(NPS_Data[[#This Row],[CreatedDateTime]],"YYYY-MM"), "")</f>
        <v>2025-08</v>
      </c>
      <c r="AD140" s="14" t="str">
        <f>IF(NOT(ISNUMBER(NPS_Data[[#This Row],[ResolutionHours]])),"Open", IF(NPS_Data[[#This Row],[ResolutionHours]]&gt;72,"Breach","OK"))</f>
        <v>Breach</v>
      </c>
      <c r="AE140" s="14">
        <f>IF(AND(ISNUMBER(NPS_Data[[#This Row],[CreatedDateTime]]), ISNUMBER(NPS_Data[[#This Row],[ResolvedDateTime]])), 1, 0)</f>
        <v>1</v>
      </c>
      <c r="AF140" s="48" t="str">
        <f>IF(NOT(ISNA(NPS_Data[[#This Row],[CreatedDateTime]])), TEXT(NPS_Data[[#This Row],[CreatedDateTime]],"dddd"), "")</f>
        <v>Saturday</v>
      </c>
    </row>
    <row r="141" spans="1:32" x14ac:dyDescent="0.25">
      <c r="A141" s="2" t="s">
        <v>847</v>
      </c>
      <c r="B141" s="2" t="s">
        <v>492</v>
      </c>
      <c r="C141" s="2" t="s">
        <v>848</v>
      </c>
      <c r="D14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45894.654050925928</v>
      </c>
      <c r="E141" s="2" t="s">
        <v>167</v>
      </c>
      <c r="F141" s="2" t="s">
        <v>813</v>
      </c>
      <c r="G141" s="2" t="s">
        <v>849</v>
      </c>
      <c r="H141"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45895.405671296299</v>
      </c>
      <c r="I141" s="2" t="s">
        <v>23</v>
      </c>
      <c r="J141" s="2" t="s">
        <v>23</v>
      </c>
      <c r="K141" s="2" t="s">
        <v>38</v>
      </c>
      <c r="L141" s="2" t="s">
        <v>850</v>
      </c>
      <c r="M141" s="2" t="s">
        <v>851</v>
      </c>
      <c r="N141" s="2" t="s">
        <v>297</v>
      </c>
      <c r="O141" s="2" t="s">
        <v>28</v>
      </c>
      <c r="P141" s="2" t="s">
        <v>285</v>
      </c>
      <c r="Q141" s="3">
        <v>7</v>
      </c>
      <c r="R141" s="2" t="s">
        <v>30</v>
      </c>
      <c r="S141" s="2" t="s">
        <v>31</v>
      </c>
      <c r="T141" s="2" t="str">
        <f>IF(OR(NPS_Data[[#This Row],[CreatedDateTime]]="",NPS_Data[[#This Row],[Assigned To]]="",NPS_Data[[#This Row],[Issue 2 - NPS]]="",NPS_Data[[#This Row],[Program Name]]=""),"Missing","OK")</f>
        <v>OK</v>
      </c>
      <c r="U141" s="2" t="str">
        <f>IF(
  AND(NPS_Data[[#This Row],[Status]]="Complete", OR(ISNA(NPS_Data[[#This Row],[ResolvedDateTime]]), ISBLANK(NPS_Data[[#This Row],[ResolvedDateTime]]))),
  "CompleteNoResolved",
  IF(
    AND(NPS_Data[[#This Row],[Status]]="Pending", NPS_Data[[#This Row],[Sub Status]]="Solved"),
    "PendingButSolved",
    "OK"
  )
)</f>
        <v>OK</v>
      </c>
      <c r="V14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41" s="2" t="str">
        <f>IFERROR(TRIM(CLEAN(NPS_Data[[#This Row],[Ticket All Remarks]])),"")</f>
        <v>No downloadable notes provided for complex topics. Difficult to review mathematical formulas and algorithms without written reference material. || Resolution: Created comprehensive downloadable study guides for all modules</v>
      </c>
      <c r="X141" s="2" cm="1">
        <f t="array" aca="1" ref="X141" ca="1">IF(NPS_Data[[#This Row],[CleanRemark]]="","",
   SUMPRODUCT(CODE(MID(NPS_Data[[#This Row],[CleanRemark]],ROW(INDIRECT("1:"&amp;LEN(NPS_Data[[#This Row],[CleanRemark]]))),1))))</f>
        <v>21599</v>
      </c>
      <c r="Y141" s="2" t="str">
        <f>IF(COUNTIF(NPS_Data[Ticket No],NPS_Data[[#This Row],[Ticket No]])&gt;1,"Duplicate","OK")</f>
        <v>OK</v>
      </c>
      <c r="Z141" s="2" t="str">
        <f ca="1">IF(NPS_Data[[#This Row],[RemarkHash]]="","OK",
   IF(COUNTIF(NPS_Data[RemarkHash],NPS_Data[[#This Row],[RemarkHash]])&gt;1,"RepeatedRemark","OK"))</f>
        <v>RepeatedRemark</v>
      </c>
      <c r="AA141" s="17">
        <f>IF( AND( ISNUMBER(NPS_Data[[#This Row],[CreatedDateTime]]), ISNUMBER(NPS_Data[[#This Row],[ResolvedDateTime]]) ), (NPS_Data[[#This Row],[ResolvedDateTime]] - NPS_Data[[#This Row],[CreatedDateTime]]) * 24, 0 )</f>
        <v>18.038888888899237</v>
      </c>
      <c r="AB141" s="65" t="str">
        <f>IF(NOT(ISNA(NPS_Data[[#This Row],[CreatedDateTime]])),
   YEAR(NPS_Data[[#This Row],[CreatedDateTime]]) &amp; "-" &amp; TEXT(WEEKNUM(NPS_Data[[#This Row],[CreatedDateTime]],2),"00"),
   "")</f>
        <v>2025-35</v>
      </c>
      <c r="AC141" s="14" t="str">
        <f>IF(NOT(ISNA(NPS_Data[[#This Row],[CreatedDateTime]])), TEXT(NPS_Data[[#This Row],[CreatedDateTime]],"YYYY-MM"), "")</f>
        <v>2025-08</v>
      </c>
      <c r="AD141" s="14" t="str">
        <f>IF(NOT(ISNUMBER(NPS_Data[[#This Row],[ResolutionHours]])),"Open", IF(NPS_Data[[#This Row],[ResolutionHours]]&gt;72,"Breach","OK"))</f>
        <v>OK</v>
      </c>
      <c r="AE141" s="14">
        <f>IF(AND(ISNUMBER(NPS_Data[[#This Row],[CreatedDateTime]]), ISNUMBER(NPS_Data[[#This Row],[ResolvedDateTime]])), 1, 0)</f>
        <v>1</v>
      </c>
      <c r="AF141" s="48" t="str">
        <f>IF(NOT(ISNA(NPS_Data[[#This Row],[CreatedDateTime]])), TEXT(NPS_Data[[#This Row],[CreatedDateTime]],"dddd"), "")</f>
        <v>Monday</v>
      </c>
    </row>
    <row r="142" spans="1:32" x14ac:dyDescent="0.25">
      <c r="A142" s="2" t="s">
        <v>852</v>
      </c>
      <c r="B142" s="2" t="s">
        <v>364</v>
      </c>
      <c r="C142" s="2" t="s">
        <v>853</v>
      </c>
      <c r="D14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45883.416018518517</v>
      </c>
      <c r="E142" s="2" t="s">
        <v>44</v>
      </c>
      <c r="H142"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42" s="2" t="s">
        <v>23</v>
      </c>
      <c r="J142" s="2" t="s">
        <v>23</v>
      </c>
      <c r="K142" s="2" t="s">
        <v>38</v>
      </c>
      <c r="L142" s="2" t="s">
        <v>854</v>
      </c>
      <c r="M142" s="2" t="s">
        <v>855</v>
      </c>
      <c r="N142" s="2" t="s">
        <v>297</v>
      </c>
      <c r="O142" s="2" t="s">
        <v>41</v>
      </c>
      <c r="P142" s="2" t="s">
        <v>285</v>
      </c>
      <c r="Q142" s="3">
        <v>1</v>
      </c>
      <c r="R142" s="2" t="s">
        <v>49</v>
      </c>
      <c r="S142" s="2" t="s">
        <v>50</v>
      </c>
      <c r="T142" s="2" t="str">
        <f>IF(OR(NPS_Data[[#This Row],[CreatedDateTime]]="",NPS_Data[[#This Row],[Assigned To]]="",NPS_Data[[#This Row],[Issue 2 - NPS]]="",NPS_Data[[#This Row],[Program Name]]=""),"Missing","OK")</f>
        <v>OK</v>
      </c>
      <c r="U142" s="2" t="str">
        <f>IF(
  AND(NPS_Data[[#This Row],[Status]]="Complete", OR(ISNA(NPS_Data[[#This Row],[ResolvedDateTime]]), ISBLANK(NPS_Data[[#This Row],[ResolvedDateTime]]))),
  "CompleteNoResolved",
  IF(
    AND(NPS_Data[[#This Row],[Status]]="Pending", NPS_Data[[#This Row],[Sub Status]]="Solved"),
    "PendingButSolved",
    "OK"
  )
)</f>
        <v>OK</v>
      </c>
      <c r="V14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42" s="2" t="str">
        <f>IFERROR(TRIM(CLEAN(NPS_Data[[#This Row],[Ticket All Remarks]])),"")</f>
        <v>No downloadable notes provided for complex topics. Difficult to review mathematical formulas and algorithms without written reference material. || Resolution: Created comprehensive downloadable study guides for all modules</v>
      </c>
      <c r="X142" s="2" cm="1">
        <f t="array" aca="1" ref="X142" ca="1">IF(NPS_Data[[#This Row],[CleanRemark]]="","",
   SUMPRODUCT(CODE(MID(NPS_Data[[#This Row],[CleanRemark]],ROW(INDIRECT("1:"&amp;LEN(NPS_Data[[#This Row],[CleanRemark]]))),1))))</f>
        <v>21599</v>
      </c>
      <c r="Y142" s="2" t="str">
        <f>IF(COUNTIF(NPS_Data[Ticket No],NPS_Data[[#This Row],[Ticket No]])&gt;1,"Duplicate","OK")</f>
        <v>OK</v>
      </c>
      <c r="Z142" s="2" t="str">
        <f ca="1">IF(NPS_Data[[#This Row],[RemarkHash]]="","OK",
   IF(COUNTIF(NPS_Data[RemarkHash],NPS_Data[[#This Row],[RemarkHash]])&gt;1,"RepeatedRemark","OK"))</f>
        <v>RepeatedRemark</v>
      </c>
      <c r="AA142" s="17">
        <f>IF( AND( ISNUMBER(NPS_Data[[#This Row],[CreatedDateTime]]), ISNUMBER(NPS_Data[[#This Row],[ResolvedDateTime]]) ), (NPS_Data[[#This Row],[ResolvedDateTime]] - NPS_Data[[#This Row],[CreatedDateTime]]) * 24, 0 )</f>
        <v>0</v>
      </c>
      <c r="AB142" s="65" t="str">
        <f>IF(NOT(ISNA(NPS_Data[[#This Row],[CreatedDateTime]])),
   YEAR(NPS_Data[[#This Row],[CreatedDateTime]]) &amp; "-" &amp; TEXT(WEEKNUM(NPS_Data[[#This Row],[CreatedDateTime]],2),"00"),
   "")</f>
        <v>2025-33</v>
      </c>
      <c r="AC142" s="14" t="str">
        <f>IF(NOT(ISNA(NPS_Data[[#This Row],[CreatedDateTime]])), TEXT(NPS_Data[[#This Row],[CreatedDateTime]],"YYYY-MM"), "")</f>
        <v>2025-08</v>
      </c>
      <c r="AD142" s="14" t="str">
        <f>IF(NOT(ISNUMBER(NPS_Data[[#This Row],[ResolutionHours]])),"Open", IF(NPS_Data[[#This Row],[ResolutionHours]]&gt;72,"Breach","OK"))</f>
        <v>OK</v>
      </c>
      <c r="AE142" s="14">
        <f>IF(AND(ISNUMBER(NPS_Data[[#This Row],[CreatedDateTime]]), ISNUMBER(NPS_Data[[#This Row],[ResolvedDateTime]])), 1, 0)</f>
        <v>0</v>
      </c>
      <c r="AF142" s="48" t="str">
        <f>IF(NOT(ISNA(NPS_Data[[#This Row],[CreatedDateTime]])), TEXT(NPS_Data[[#This Row],[CreatedDateTime]],"dddd"), "")</f>
        <v>Thursday</v>
      </c>
    </row>
    <row r="143" spans="1:32" x14ac:dyDescent="0.25">
      <c r="A143" s="2" t="s">
        <v>856</v>
      </c>
      <c r="B143" s="2" t="s">
        <v>364</v>
      </c>
      <c r="C143" s="2" t="s">
        <v>857</v>
      </c>
      <c r="D14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45883.760833333334</v>
      </c>
      <c r="E143" s="2" t="s">
        <v>104</v>
      </c>
      <c r="F143" s="2" t="s">
        <v>813</v>
      </c>
      <c r="G143" s="2" t="s">
        <v>858</v>
      </c>
      <c r="H143"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45895.666018518517</v>
      </c>
      <c r="I143" s="2" t="s">
        <v>23</v>
      </c>
      <c r="J143" s="2" t="s">
        <v>23</v>
      </c>
      <c r="K143" s="2" t="s">
        <v>88</v>
      </c>
      <c r="L143" s="2" t="s">
        <v>859</v>
      </c>
      <c r="M143" s="2" t="s">
        <v>860</v>
      </c>
      <c r="N143" s="2" t="s">
        <v>131</v>
      </c>
      <c r="O143" s="2" t="s">
        <v>48</v>
      </c>
      <c r="P143" s="2" t="s">
        <v>132</v>
      </c>
      <c r="Q143" s="3">
        <v>1</v>
      </c>
      <c r="R143" s="2" t="s">
        <v>30</v>
      </c>
      <c r="S143" s="2" t="s">
        <v>31</v>
      </c>
      <c r="T143" s="2" t="str">
        <f>IF(OR(NPS_Data[[#This Row],[CreatedDateTime]]="",NPS_Data[[#This Row],[Assigned To]]="",NPS_Data[[#This Row],[Issue 2 - NPS]]="",NPS_Data[[#This Row],[Program Name]]=""),"Missing","OK")</f>
        <v>OK</v>
      </c>
      <c r="U143" s="2" t="str">
        <f>IF(
  AND(NPS_Data[[#This Row],[Status]]="Complete", OR(ISNA(NPS_Data[[#This Row],[ResolvedDateTime]]), ISBLANK(NPS_Data[[#This Row],[ResolvedDateTime]]))),
  "CompleteNoResolved",
  IF(
    AND(NPS_Data[[#This Row],[Status]]="Pending", NPS_Data[[#This Row],[Sub Status]]="Solved"),
    "PendingButSolved",
    "OK"
  )
)</f>
        <v>OK</v>
      </c>
      <c r="V14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43" s="2" t="str">
        <f>IFERROR(TRIM(CLEAN(NPS_Data[[#This Row],[Ticket All Remarks]])),"")</f>
        <v>Placement eligibility criteria require 70%+ in graduation but scored 68% due to family financial crisis during college. Seems unfair exclusion. || Resolution: Reviewed eligibility criteria and created exception process for genuine hardship cases</v>
      </c>
      <c r="X143" s="2" cm="1">
        <f t="array" aca="1" ref="X143" ca="1">IF(NPS_Data[[#This Row],[CleanRemark]]="","",
   SUMPRODUCT(CODE(MID(NPS_Data[[#This Row],[CleanRemark]],ROW(INDIRECT("1:"&amp;LEN(NPS_Data[[#This Row],[CleanRemark]]))),1))))</f>
        <v>23171</v>
      </c>
      <c r="Y143" s="2" t="str">
        <f>IF(COUNTIF(NPS_Data[Ticket No],NPS_Data[[#This Row],[Ticket No]])&gt;1,"Duplicate","OK")</f>
        <v>OK</v>
      </c>
      <c r="Z143" s="2" t="str">
        <f ca="1">IF(NPS_Data[[#This Row],[RemarkHash]]="","OK",
   IF(COUNTIF(NPS_Data[RemarkHash],NPS_Data[[#This Row],[RemarkHash]])&gt;1,"RepeatedRemark","OK"))</f>
        <v>RepeatedRemark</v>
      </c>
      <c r="AA143" s="17">
        <f>IF( AND( ISNUMBER(NPS_Data[[#This Row],[CreatedDateTime]]), ISNUMBER(NPS_Data[[#This Row],[ResolvedDateTime]]) ), (NPS_Data[[#This Row],[ResolvedDateTime]] - NPS_Data[[#This Row],[CreatedDateTime]]) * 24, 0 )</f>
        <v>285.72444444440771</v>
      </c>
      <c r="AB143" s="65" t="str">
        <f>IF(NOT(ISNA(NPS_Data[[#This Row],[CreatedDateTime]])),
   YEAR(NPS_Data[[#This Row],[CreatedDateTime]]) &amp; "-" &amp; TEXT(WEEKNUM(NPS_Data[[#This Row],[CreatedDateTime]],2),"00"),
   "")</f>
        <v>2025-33</v>
      </c>
      <c r="AC143" s="14" t="str">
        <f>IF(NOT(ISNA(NPS_Data[[#This Row],[CreatedDateTime]])), TEXT(NPS_Data[[#This Row],[CreatedDateTime]],"YYYY-MM"), "")</f>
        <v>2025-08</v>
      </c>
      <c r="AD143" s="14" t="str">
        <f>IF(NOT(ISNUMBER(NPS_Data[[#This Row],[ResolutionHours]])),"Open", IF(NPS_Data[[#This Row],[ResolutionHours]]&gt;72,"Breach","OK"))</f>
        <v>Breach</v>
      </c>
      <c r="AE143" s="14">
        <f>IF(AND(ISNUMBER(NPS_Data[[#This Row],[CreatedDateTime]]), ISNUMBER(NPS_Data[[#This Row],[ResolvedDateTime]])), 1, 0)</f>
        <v>1</v>
      </c>
      <c r="AF143" s="48" t="str">
        <f>IF(NOT(ISNA(NPS_Data[[#This Row],[CreatedDateTime]])), TEXT(NPS_Data[[#This Row],[CreatedDateTime]],"dddd"), "")</f>
        <v>Thursday</v>
      </c>
    </row>
    <row r="144" spans="1:32" x14ac:dyDescent="0.25">
      <c r="A144" s="2" t="s">
        <v>861</v>
      </c>
      <c r="B144" s="2" t="s">
        <v>127</v>
      </c>
      <c r="C144" s="2" t="s">
        <v>862</v>
      </c>
      <c r="D14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45878.848645833335</v>
      </c>
      <c r="E144" s="2" t="s">
        <v>20</v>
      </c>
      <c r="H144"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44" s="2" t="s">
        <v>23</v>
      </c>
      <c r="J144" s="2" t="s">
        <v>23</v>
      </c>
      <c r="K144" s="2" t="s">
        <v>88</v>
      </c>
      <c r="L144" s="2" t="s">
        <v>863</v>
      </c>
      <c r="M144" s="2" t="s">
        <v>864</v>
      </c>
      <c r="N144" s="2" t="s">
        <v>188</v>
      </c>
      <c r="O144" s="2" t="s">
        <v>28</v>
      </c>
      <c r="P144" s="2" t="s">
        <v>189</v>
      </c>
      <c r="Q144" s="3">
        <v>1</v>
      </c>
      <c r="R144" s="2" t="s">
        <v>49</v>
      </c>
      <c r="S144" s="2" t="s">
        <v>50</v>
      </c>
      <c r="T144" s="2" t="str">
        <f>IF(OR(NPS_Data[[#This Row],[CreatedDateTime]]="",NPS_Data[[#This Row],[Assigned To]]="",NPS_Data[[#This Row],[Issue 2 - NPS]]="",NPS_Data[[#This Row],[Program Name]]=""),"Missing","OK")</f>
        <v>OK</v>
      </c>
      <c r="U144" s="2" t="str">
        <f>IF(
  AND(NPS_Data[[#This Row],[Status]]="Complete", OR(ISNA(NPS_Data[[#This Row],[ResolvedDateTime]]), ISBLANK(NPS_Data[[#This Row],[ResolvedDateTime]]))),
  "CompleteNoResolved",
  IF(
    AND(NPS_Data[[#This Row],[Status]]="Pending", NPS_Data[[#This Row],[Sub Status]]="Solved"),
    "PendingButSolved",
    "OK"
  )
)</f>
        <v>OK</v>
      </c>
      <c r="V14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44" s="2" t="str">
        <f>IFERROR(TRIM(CLEAN(NPS_Data[[#This Row],[Ticket All Remarks]])),"")</f>
        <v>Multiple interview rounds cleared but final selection goes to internal referrals. External candidates seem disadvantaged despite equal performance. || Resolution: Expanded alumni network for referral opportunities and insider advocacy</v>
      </c>
      <c r="X144" s="2" cm="1">
        <f t="array" aca="1" ref="X144" ca="1">IF(NPS_Data[[#This Row],[CleanRemark]]="","",
   SUMPRODUCT(CODE(MID(NPS_Data[[#This Row],[CleanRemark]],ROW(INDIRECT("1:"&amp;LEN(NPS_Data[[#This Row],[CleanRemark]]))),1))))</f>
        <v>22764</v>
      </c>
      <c r="Y144" s="2" t="str">
        <f>IF(COUNTIF(NPS_Data[Ticket No],NPS_Data[[#This Row],[Ticket No]])&gt;1,"Duplicate","OK")</f>
        <v>OK</v>
      </c>
      <c r="Z144" s="2" t="str">
        <f ca="1">IF(NPS_Data[[#This Row],[RemarkHash]]="","OK",
   IF(COUNTIF(NPS_Data[RemarkHash],NPS_Data[[#This Row],[RemarkHash]])&gt;1,"RepeatedRemark","OK"))</f>
        <v>RepeatedRemark</v>
      </c>
      <c r="AA144" s="17">
        <f>IF( AND( ISNUMBER(NPS_Data[[#This Row],[CreatedDateTime]]), ISNUMBER(NPS_Data[[#This Row],[ResolvedDateTime]]) ), (NPS_Data[[#This Row],[ResolvedDateTime]] - NPS_Data[[#This Row],[CreatedDateTime]]) * 24, 0 )</f>
        <v>0</v>
      </c>
      <c r="AB144" s="65" t="str">
        <f>IF(NOT(ISNA(NPS_Data[[#This Row],[CreatedDateTime]])),
   YEAR(NPS_Data[[#This Row],[CreatedDateTime]]) &amp; "-" &amp; TEXT(WEEKNUM(NPS_Data[[#This Row],[CreatedDateTime]],2),"00"),
   "")</f>
        <v>2025-32</v>
      </c>
      <c r="AC144" s="14" t="str">
        <f>IF(NOT(ISNA(NPS_Data[[#This Row],[CreatedDateTime]])), TEXT(NPS_Data[[#This Row],[CreatedDateTime]],"YYYY-MM"), "")</f>
        <v>2025-08</v>
      </c>
      <c r="AD144" s="14" t="str">
        <f>IF(NOT(ISNUMBER(NPS_Data[[#This Row],[ResolutionHours]])),"Open", IF(NPS_Data[[#This Row],[ResolutionHours]]&gt;72,"Breach","OK"))</f>
        <v>OK</v>
      </c>
      <c r="AE144" s="14">
        <f>IF(AND(ISNUMBER(NPS_Data[[#This Row],[CreatedDateTime]]), ISNUMBER(NPS_Data[[#This Row],[ResolvedDateTime]])), 1, 0)</f>
        <v>0</v>
      </c>
      <c r="AF144" s="48" t="str">
        <f>IF(NOT(ISNA(NPS_Data[[#This Row],[CreatedDateTime]])), TEXT(NPS_Data[[#This Row],[CreatedDateTime]],"dddd"), "")</f>
        <v>Saturday</v>
      </c>
    </row>
    <row r="145" spans="1:32" x14ac:dyDescent="0.25">
      <c r="A145" s="2" t="s">
        <v>865</v>
      </c>
      <c r="B145" s="2" t="s">
        <v>209</v>
      </c>
      <c r="C145" s="2" t="s">
        <v>866</v>
      </c>
      <c r="D14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45908.607916666668</v>
      </c>
      <c r="E145" s="2" t="s">
        <v>104</v>
      </c>
      <c r="F145" s="2" t="s">
        <v>197</v>
      </c>
      <c r="G145" s="2" t="s">
        <v>867</v>
      </c>
      <c r="H145"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45914.402974537035</v>
      </c>
      <c r="I145" s="2" t="s">
        <v>23</v>
      </c>
      <c r="J145" s="2" t="s">
        <v>23</v>
      </c>
      <c r="K145" s="2" t="s">
        <v>56</v>
      </c>
      <c r="L145" s="2" t="s">
        <v>868</v>
      </c>
      <c r="M145" s="2" t="s">
        <v>869</v>
      </c>
      <c r="N145" s="2" t="s">
        <v>870</v>
      </c>
      <c r="O145" s="2" t="s">
        <v>41</v>
      </c>
      <c r="P145" s="2" t="s">
        <v>216</v>
      </c>
      <c r="Q145" s="3">
        <v>2</v>
      </c>
      <c r="R145" s="2" t="s">
        <v>30</v>
      </c>
      <c r="S145" s="2" t="s">
        <v>31</v>
      </c>
      <c r="T145" s="2" t="str">
        <f>IF(OR(NPS_Data[[#This Row],[CreatedDateTime]]="",NPS_Data[[#This Row],[Assigned To]]="",NPS_Data[[#This Row],[Issue 2 - NPS]]="",NPS_Data[[#This Row],[Program Name]]=""),"Missing","OK")</f>
        <v>OK</v>
      </c>
      <c r="U145" s="2" t="str">
        <f>IF(
  AND(NPS_Data[[#This Row],[Status]]="Complete", OR(ISNA(NPS_Data[[#This Row],[ResolvedDateTime]]), ISBLANK(NPS_Data[[#This Row],[ResolvedDateTime]]))),
  "CompleteNoResolved",
  IF(
    AND(NPS_Data[[#This Row],[Status]]="Pending", NPS_Data[[#This Row],[Sub Status]]="Solved"),
    "PendingButSolved",
    "OK"
  )
)</f>
        <v>OK</v>
      </c>
      <c r="V14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45" s="2" t="str">
        <f>IFERROR(TRIM(CLEAN(NPS_Data[[#This Row],[Ticket All Remarks]])),"")</f>
        <v>Mentor Amit Patel provides only generic advice like 'practice more coding'. Asked specific questions about Google interview process but got template responses. || Resolution: Connected with mentor who recently joined FAANG PayTM</v>
      </c>
      <c r="X145" s="2" cm="1">
        <f t="array" aca="1" ref="X145" ca="1">IF(NPS_Data[[#This Row],[CleanRemark]]="","",
   SUMPRODUCT(CODE(MID(NPS_Data[[#This Row],[CleanRemark]],ROW(INDIRECT("1:"&amp;LEN(NPS_Data[[#This Row],[CleanRemark]]))),1))))</f>
        <v>21485</v>
      </c>
      <c r="Y145" s="2" t="str">
        <f>IF(COUNTIF(NPS_Data[Ticket No],NPS_Data[[#This Row],[Ticket No]])&gt;1,"Duplicate","OK")</f>
        <v>OK</v>
      </c>
      <c r="Z145" s="2" t="str">
        <f ca="1">IF(NPS_Data[[#This Row],[RemarkHash]]="","OK",
   IF(COUNTIF(NPS_Data[RemarkHash],NPS_Data[[#This Row],[RemarkHash]])&gt;1,"RepeatedRemark","OK"))</f>
        <v>OK</v>
      </c>
      <c r="AA145" s="17">
        <f>IF( AND( ISNUMBER(NPS_Data[[#This Row],[CreatedDateTime]]), ISNUMBER(NPS_Data[[#This Row],[ResolvedDateTime]]) ), (NPS_Data[[#This Row],[ResolvedDateTime]] - NPS_Data[[#This Row],[CreatedDateTime]]) * 24, 0 )</f>
        <v>139.0813888888224</v>
      </c>
      <c r="AB145" s="65" t="str">
        <f>IF(NOT(ISNA(NPS_Data[[#This Row],[CreatedDateTime]])),
   YEAR(NPS_Data[[#This Row],[CreatedDateTime]]) &amp; "-" &amp; TEXT(WEEKNUM(NPS_Data[[#This Row],[CreatedDateTime]],2),"00"),
   "")</f>
        <v>2025-37</v>
      </c>
      <c r="AC145" s="14" t="str">
        <f>IF(NOT(ISNA(NPS_Data[[#This Row],[CreatedDateTime]])), TEXT(NPS_Data[[#This Row],[CreatedDateTime]],"YYYY-MM"), "")</f>
        <v>2025-09</v>
      </c>
      <c r="AD145" s="14" t="str">
        <f>IF(NOT(ISNUMBER(NPS_Data[[#This Row],[ResolutionHours]])),"Open", IF(NPS_Data[[#This Row],[ResolutionHours]]&gt;72,"Breach","OK"))</f>
        <v>Breach</v>
      </c>
      <c r="AE145" s="14">
        <f>IF(AND(ISNUMBER(NPS_Data[[#This Row],[CreatedDateTime]]), ISNUMBER(NPS_Data[[#This Row],[ResolvedDateTime]])), 1, 0)</f>
        <v>1</v>
      </c>
      <c r="AF145" s="48" t="str">
        <f>IF(NOT(ISNA(NPS_Data[[#This Row],[CreatedDateTime]])), TEXT(NPS_Data[[#This Row],[CreatedDateTime]],"dddd"), "")</f>
        <v>Monday</v>
      </c>
    </row>
    <row r="146" spans="1:32" x14ac:dyDescent="0.25">
      <c r="A146" s="2" t="s">
        <v>871</v>
      </c>
      <c r="B146" s="2" t="s">
        <v>343</v>
      </c>
      <c r="C146" s="2" t="s">
        <v>872</v>
      </c>
      <c r="D14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45888.548194444447</v>
      </c>
      <c r="E146" s="2" t="s">
        <v>219</v>
      </c>
      <c r="H146"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46" s="2" t="s">
        <v>23</v>
      </c>
      <c r="J146" s="2" t="s">
        <v>23</v>
      </c>
      <c r="K146" s="2" t="s">
        <v>38</v>
      </c>
      <c r="L146" s="2" t="s">
        <v>873</v>
      </c>
      <c r="M146" s="2" t="s">
        <v>874</v>
      </c>
      <c r="N146" s="2" t="s">
        <v>875</v>
      </c>
      <c r="O146" s="2" t="s">
        <v>28</v>
      </c>
      <c r="P146" s="2" t="s">
        <v>585</v>
      </c>
      <c r="Q146" s="3">
        <v>3</v>
      </c>
      <c r="R146" s="2" t="s">
        <v>49</v>
      </c>
      <c r="S146" s="2" t="s">
        <v>50</v>
      </c>
      <c r="T146" s="2" t="str">
        <f>IF(OR(NPS_Data[[#This Row],[CreatedDateTime]]="",NPS_Data[[#This Row],[Assigned To]]="",NPS_Data[[#This Row],[Issue 2 - NPS]]="",NPS_Data[[#This Row],[Program Name]]=""),"Missing","OK")</f>
        <v>OK</v>
      </c>
      <c r="U146" s="2" t="str">
        <f>IF(
  AND(NPS_Data[[#This Row],[Status]]="Complete", OR(ISNA(NPS_Data[[#This Row],[ResolvedDateTime]]), ISBLANK(NPS_Data[[#This Row],[ResolvedDateTime]]))),
  "CompleteNoResolved",
  IF(
    AND(NPS_Data[[#This Row],[Status]]="Pending", NPS_Data[[#This Row],[Sub Status]]="Solved"),
    "PendingButSolved",
    "OK"
  )
)</f>
        <v>OK</v>
      </c>
      <c r="V14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46" s="2" t="str">
        <f>IFERROR(TRIM(CLEAN(NPS_Data[[#This Row],[Ticket All Remarks]])),"")</f>
        <v>Audio-video sync issues during recorded playback. Instructor Sarah Johnson's voice doesn't match lip movement by 2-3 seconds. Distracting during learning. || Resolution: Fixed encoding pipeline and re-processed affected recordings</v>
      </c>
      <c r="X146" s="2" cm="1">
        <f t="array" aca="1" ref="X146" ca="1">IF(NPS_Data[[#This Row],[CleanRemark]]="","",
   SUMPRODUCT(CODE(MID(NPS_Data[[#This Row],[CleanRemark]],ROW(INDIRECT("1:"&amp;LEN(NPS_Data[[#This Row],[CleanRemark]]))),1))))</f>
        <v>21730</v>
      </c>
      <c r="Y146" s="2" t="str">
        <f>IF(COUNTIF(NPS_Data[Ticket No],NPS_Data[[#This Row],[Ticket No]])&gt;1,"Duplicate","OK")</f>
        <v>OK</v>
      </c>
      <c r="Z146" s="2" t="str">
        <f ca="1">IF(NPS_Data[[#This Row],[RemarkHash]]="","OK",
   IF(COUNTIF(NPS_Data[RemarkHash],NPS_Data[[#This Row],[RemarkHash]])&gt;1,"RepeatedRemark","OK"))</f>
        <v>OK</v>
      </c>
      <c r="AA146" s="17">
        <f>IF( AND( ISNUMBER(NPS_Data[[#This Row],[CreatedDateTime]]), ISNUMBER(NPS_Data[[#This Row],[ResolvedDateTime]]) ), (NPS_Data[[#This Row],[ResolvedDateTime]] - NPS_Data[[#This Row],[CreatedDateTime]]) * 24, 0 )</f>
        <v>0</v>
      </c>
      <c r="AB146" s="65" t="str">
        <f>IF(NOT(ISNA(NPS_Data[[#This Row],[CreatedDateTime]])),
   YEAR(NPS_Data[[#This Row],[CreatedDateTime]]) &amp; "-" &amp; TEXT(WEEKNUM(NPS_Data[[#This Row],[CreatedDateTime]],2),"00"),
   "")</f>
        <v>2025-34</v>
      </c>
      <c r="AC146" s="14" t="str">
        <f>IF(NOT(ISNA(NPS_Data[[#This Row],[CreatedDateTime]])), TEXT(NPS_Data[[#This Row],[CreatedDateTime]],"YYYY-MM"), "")</f>
        <v>2025-08</v>
      </c>
      <c r="AD146" s="14" t="str">
        <f>IF(NOT(ISNUMBER(NPS_Data[[#This Row],[ResolutionHours]])),"Open", IF(NPS_Data[[#This Row],[ResolutionHours]]&gt;72,"Breach","OK"))</f>
        <v>OK</v>
      </c>
      <c r="AE146" s="14">
        <f>IF(AND(ISNUMBER(NPS_Data[[#This Row],[CreatedDateTime]]), ISNUMBER(NPS_Data[[#This Row],[ResolvedDateTime]])), 1, 0)</f>
        <v>0</v>
      </c>
      <c r="AF146" s="48" t="str">
        <f>IF(NOT(ISNA(NPS_Data[[#This Row],[CreatedDateTime]])), TEXT(NPS_Data[[#This Row],[CreatedDateTime]],"dddd"), "")</f>
        <v>Tuesday</v>
      </c>
    </row>
    <row r="147" spans="1:32" x14ac:dyDescent="0.25">
      <c r="A147" s="2" t="s">
        <v>876</v>
      </c>
      <c r="B147" s="2" t="s">
        <v>233</v>
      </c>
      <c r="C147" s="2" t="s">
        <v>877</v>
      </c>
      <c r="D14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45889.691377314812</v>
      </c>
      <c r="E147" s="2" t="s">
        <v>80</v>
      </c>
      <c r="F147" s="2" t="s">
        <v>492</v>
      </c>
      <c r="G147" s="2" t="s">
        <v>878</v>
      </c>
      <c r="H147"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45894.422280092593</v>
      </c>
      <c r="I147" s="2" t="s">
        <v>23</v>
      </c>
      <c r="J147" s="2" t="s">
        <v>23</v>
      </c>
      <c r="K147" s="2" t="s">
        <v>88</v>
      </c>
      <c r="L147" s="2" t="s">
        <v>879</v>
      </c>
      <c r="M147" s="2" t="s">
        <v>880</v>
      </c>
      <c r="N147" s="2" t="s">
        <v>793</v>
      </c>
      <c r="O147" s="2" t="s">
        <v>177</v>
      </c>
      <c r="P147" s="2" t="s">
        <v>92</v>
      </c>
      <c r="Q147" s="3">
        <v>4</v>
      </c>
      <c r="R147" s="2" t="s">
        <v>30</v>
      </c>
      <c r="S147" s="2" t="s">
        <v>31</v>
      </c>
      <c r="T147" s="2" t="str">
        <f>IF(OR(NPS_Data[[#This Row],[CreatedDateTime]]="",NPS_Data[[#This Row],[Assigned To]]="",NPS_Data[[#This Row],[Issue 2 - NPS]]="",NPS_Data[[#This Row],[Program Name]]=""),"Missing","OK")</f>
        <v>OK</v>
      </c>
      <c r="U147" s="2" t="str">
        <f>IF(
  AND(NPS_Data[[#This Row],[Status]]="Complete", OR(ISNA(NPS_Data[[#This Row],[ResolvedDateTime]]), ISBLANK(NPS_Data[[#This Row],[ResolvedDateTime]]))),
  "CompleteNoResolved",
  IF(
    AND(NPS_Data[[#This Row],[Status]]="Pending", NPS_Data[[#This Row],[Sub Status]]="Solved"),
    "PendingButSolved",
    "OK"
  )
)</f>
        <v>OK</v>
      </c>
      <c r="V14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47" s="2" t="str">
        <f>IFERROR(TRIM(CLEAN(NPS_Data[[#This Row],[Ticket All Remarks]])),"")</f>
        <v>Want to pursue management track vs staying technical. Currently team lead but unsure about MBA requirements and career progression options. || Resolution: Arranged sessions with both technical architects and engineering managers</v>
      </c>
      <c r="X147" s="2" cm="1">
        <f t="array" aca="1" ref="X147" ca="1">IF(NPS_Data[[#This Row],[CleanRemark]]="","",
   SUMPRODUCT(CODE(MID(NPS_Data[[#This Row],[CleanRemark]],ROW(INDIRECT("1:"&amp;LEN(NPS_Data[[#This Row],[CleanRemark]]))),1))))</f>
        <v>21946</v>
      </c>
      <c r="Y147" s="2" t="str">
        <f>IF(COUNTIF(NPS_Data[Ticket No],NPS_Data[[#This Row],[Ticket No]])&gt;1,"Duplicate","OK")</f>
        <v>OK</v>
      </c>
      <c r="Z147" s="2" t="str">
        <f ca="1">IF(NPS_Data[[#This Row],[RemarkHash]]="","OK",
   IF(COUNTIF(NPS_Data[RemarkHash],NPS_Data[[#This Row],[RemarkHash]])&gt;1,"RepeatedRemark","OK"))</f>
        <v>RepeatedRemark</v>
      </c>
      <c r="AA147" s="17">
        <f>IF( AND( ISNUMBER(NPS_Data[[#This Row],[CreatedDateTime]]), ISNUMBER(NPS_Data[[#This Row],[ResolvedDateTime]]) ), (NPS_Data[[#This Row],[ResolvedDateTime]] - NPS_Data[[#This Row],[CreatedDateTime]]) * 24, 0 )</f>
        <v>113.54166666674428</v>
      </c>
      <c r="AB147" s="65" t="str">
        <f>IF(NOT(ISNA(NPS_Data[[#This Row],[CreatedDateTime]])),
   YEAR(NPS_Data[[#This Row],[CreatedDateTime]]) &amp; "-" &amp; TEXT(WEEKNUM(NPS_Data[[#This Row],[CreatedDateTime]],2),"00"),
   "")</f>
        <v>2025-34</v>
      </c>
      <c r="AC147" s="14" t="str">
        <f>IF(NOT(ISNA(NPS_Data[[#This Row],[CreatedDateTime]])), TEXT(NPS_Data[[#This Row],[CreatedDateTime]],"YYYY-MM"), "")</f>
        <v>2025-08</v>
      </c>
      <c r="AD147" s="14" t="str">
        <f>IF(NOT(ISNUMBER(NPS_Data[[#This Row],[ResolutionHours]])),"Open", IF(NPS_Data[[#This Row],[ResolutionHours]]&gt;72,"Breach","OK"))</f>
        <v>Breach</v>
      </c>
      <c r="AE147" s="14">
        <f>IF(AND(ISNUMBER(NPS_Data[[#This Row],[CreatedDateTime]]), ISNUMBER(NPS_Data[[#This Row],[ResolvedDateTime]])), 1, 0)</f>
        <v>1</v>
      </c>
      <c r="AF147" s="48" t="str">
        <f>IF(NOT(ISNA(NPS_Data[[#This Row],[CreatedDateTime]])), TEXT(NPS_Data[[#This Row],[CreatedDateTime]],"dddd"), "")</f>
        <v>Wednesday</v>
      </c>
    </row>
    <row r="148" spans="1:32" x14ac:dyDescent="0.25">
      <c r="A148" s="2" t="s">
        <v>881</v>
      </c>
      <c r="B148" s="2" t="s">
        <v>524</v>
      </c>
      <c r="C148" s="2" t="s">
        <v>882</v>
      </c>
      <c r="D14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45875.449270833335</v>
      </c>
      <c r="E148" s="2" t="s">
        <v>80</v>
      </c>
      <c r="F148" s="2" t="s">
        <v>596</v>
      </c>
      <c r="G148" s="2" t="s">
        <v>883</v>
      </c>
      <c r="H148"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45881.625208333331</v>
      </c>
      <c r="I148" s="2" t="s">
        <v>23</v>
      </c>
      <c r="J148" s="2" t="s">
        <v>23</v>
      </c>
      <c r="K148" s="2" t="s">
        <v>38</v>
      </c>
      <c r="L148" s="2" t="s">
        <v>884</v>
      </c>
      <c r="M148" s="2" t="s">
        <v>885</v>
      </c>
      <c r="N148" s="2" t="s">
        <v>886</v>
      </c>
      <c r="O148" s="2" t="s">
        <v>41</v>
      </c>
      <c r="P148" s="2" t="s">
        <v>379</v>
      </c>
      <c r="Q148" s="3">
        <v>3</v>
      </c>
      <c r="R148" s="2" t="s">
        <v>30</v>
      </c>
      <c r="S148" s="2" t="s">
        <v>31</v>
      </c>
      <c r="T148" s="2" t="str">
        <f>IF(OR(NPS_Data[[#This Row],[CreatedDateTime]]="",NPS_Data[[#This Row],[Assigned To]]="",NPS_Data[[#This Row],[Issue 2 - NPS]]="",NPS_Data[[#This Row],[Program Name]]=""),"Missing","OK")</f>
        <v>OK</v>
      </c>
      <c r="U148" s="2" t="str">
        <f>IF(
  AND(NPS_Data[[#This Row],[Status]]="Complete", OR(ISNA(NPS_Data[[#This Row],[ResolvedDateTime]]), ISBLANK(NPS_Data[[#This Row],[ResolvedDateTime]]))),
  "CompleteNoResolved",
  IF(
    AND(NPS_Data[[#This Row],[Status]]="Pending", NPS_Data[[#This Row],[Sub Status]]="Solved"),
    "PendingButSolved",
    "OK"
  )
)</f>
        <v>OK</v>
      </c>
      <c r="V14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48" s="2" t="str">
        <f>IFERROR(TRIM(CLEAN(NPS_Data[[#This Row],[Ticket All Remarks]])),"")</f>
        <v>DSML curriculum still uses Pandas 1.3 when industry standard is 2.1+. Modern data manipulation techniques like polars not covered. Outdated for current job requirements. || Resolution: Curriculum team updating all library versions and adding modern tools</v>
      </c>
      <c r="X148" s="2" cm="1">
        <f t="array" aca="1" ref="X148" ca="1">IF(NPS_Data[[#This Row],[CleanRemark]]="","",
   SUMPRODUCT(CODE(MID(NPS_Data[[#This Row],[CleanRemark]],ROW(INDIRECT("1:"&amp;LEN(NPS_Data[[#This Row],[CleanRemark]]))),1))))</f>
        <v>23929</v>
      </c>
      <c r="Y148" s="2" t="str">
        <f>IF(COUNTIF(NPS_Data[Ticket No],NPS_Data[[#This Row],[Ticket No]])&gt;1,"Duplicate","OK")</f>
        <v>OK</v>
      </c>
      <c r="Z148" s="2" t="str">
        <f ca="1">IF(NPS_Data[[#This Row],[RemarkHash]]="","OK",
   IF(COUNTIF(NPS_Data[RemarkHash],NPS_Data[[#This Row],[RemarkHash]])&gt;1,"RepeatedRemark","OK"))</f>
        <v>OK</v>
      </c>
      <c r="AA148" s="17">
        <f>IF( AND( ISNUMBER(NPS_Data[[#This Row],[CreatedDateTime]]), ISNUMBER(NPS_Data[[#This Row],[ResolvedDateTime]]) ), (NPS_Data[[#This Row],[ResolvedDateTime]] - NPS_Data[[#This Row],[CreatedDateTime]]) * 24, 0 )</f>
        <v>148.22249999991618</v>
      </c>
      <c r="AB148" s="65" t="str">
        <f>IF(NOT(ISNA(NPS_Data[[#This Row],[CreatedDateTime]])),
   YEAR(NPS_Data[[#This Row],[CreatedDateTime]]) &amp; "-" &amp; TEXT(WEEKNUM(NPS_Data[[#This Row],[CreatedDateTime]],2),"00"),
   "")</f>
        <v>2025-32</v>
      </c>
      <c r="AC148" s="14" t="str">
        <f>IF(NOT(ISNA(NPS_Data[[#This Row],[CreatedDateTime]])), TEXT(NPS_Data[[#This Row],[CreatedDateTime]],"YYYY-MM"), "")</f>
        <v>2025-08</v>
      </c>
      <c r="AD148" s="14" t="str">
        <f>IF(NOT(ISNUMBER(NPS_Data[[#This Row],[ResolutionHours]])),"Open", IF(NPS_Data[[#This Row],[ResolutionHours]]&gt;72,"Breach","OK"))</f>
        <v>Breach</v>
      </c>
      <c r="AE148" s="14">
        <f>IF(AND(ISNUMBER(NPS_Data[[#This Row],[CreatedDateTime]]), ISNUMBER(NPS_Data[[#This Row],[ResolvedDateTime]])), 1, 0)</f>
        <v>1</v>
      </c>
      <c r="AF148" s="48" t="str">
        <f>IF(NOT(ISNA(NPS_Data[[#This Row],[CreatedDateTime]])), TEXT(NPS_Data[[#This Row],[CreatedDateTime]],"dddd"), "")</f>
        <v>Wednesday</v>
      </c>
    </row>
    <row r="149" spans="1:32" x14ac:dyDescent="0.25">
      <c r="A149" s="2" t="s">
        <v>887</v>
      </c>
      <c r="B149" s="2" t="s">
        <v>366</v>
      </c>
      <c r="C149" s="2" t="s">
        <v>888</v>
      </c>
      <c r="D14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45887.638541666667</v>
      </c>
      <c r="E149" s="2" t="s">
        <v>20</v>
      </c>
      <c r="F149" s="2" t="s">
        <v>813</v>
      </c>
      <c r="G149" s="2" t="s">
        <v>889</v>
      </c>
      <c r="H149"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45895.461226851854</v>
      </c>
      <c r="I149" s="2" t="s">
        <v>23</v>
      </c>
      <c r="J149" s="2" t="s">
        <v>23</v>
      </c>
      <c r="K149" s="2" t="s">
        <v>88</v>
      </c>
      <c r="L149" s="2" t="s">
        <v>890</v>
      </c>
      <c r="M149" s="2" t="s">
        <v>891</v>
      </c>
      <c r="N149" s="2" t="s">
        <v>633</v>
      </c>
      <c r="O149" s="2" t="s">
        <v>41</v>
      </c>
      <c r="P149" s="2" t="s">
        <v>132</v>
      </c>
      <c r="Q149" s="3">
        <v>4</v>
      </c>
      <c r="R149" s="2" t="s">
        <v>30</v>
      </c>
      <c r="S149" s="2" t="s">
        <v>31</v>
      </c>
      <c r="T149" s="2" t="str">
        <f>IF(OR(NPS_Data[[#This Row],[CreatedDateTime]]="",NPS_Data[[#This Row],[Assigned To]]="",NPS_Data[[#This Row],[Issue 2 - NPS]]="",NPS_Data[[#This Row],[Program Name]]=""),"Missing","OK")</f>
        <v>OK</v>
      </c>
      <c r="U149" s="2" t="str">
        <f>IF(
  AND(NPS_Data[[#This Row],[Status]]="Complete", OR(ISNA(NPS_Data[[#This Row],[ResolvedDateTime]]), ISBLANK(NPS_Data[[#This Row],[ResolvedDateTime]]))),
  "CompleteNoResolved",
  IF(
    AND(NPS_Data[[#This Row],[Status]]="Pending", NPS_Data[[#This Row],[Sub Status]]="Solved"),
    "PendingButSolved",
    "OK"
  )
)</f>
        <v>OK</v>
      </c>
      <c r="V14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49" s="2" t="str">
        <f>IFERROR(TRIM(CLEAN(NPS_Data[[#This Row],[Ticket All Remarks]])),"")</f>
        <v>Placement team requires 2+ years experience but won't help freshers. Catch-22 situation where experience needed for placement but placement needed for experience. || Resolution: Launched fresh graduate placement track with entry-level focused companies</v>
      </c>
      <c r="X149" s="2" cm="1">
        <f t="array" aca="1" ref="X149" ca="1">IF(NPS_Data[[#This Row],[CleanRemark]]="","",
   SUMPRODUCT(CODE(MID(NPS_Data[[#This Row],[CleanRemark]],ROW(INDIRECT("1:"&amp;LEN(NPS_Data[[#This Row],[CleanRemark]]))),1))))</f>
        <v>23910</v>
      </c>
      <c r="Y149" s="2" t="str">
        <f>IF(COUNTIF(NPS_Data[Ticket No],NPS_Data[[#This Row],[Ticket No]])&gt;1,"Duplicate","OK")</f>
        <v>OK</v>
      </c>
      <c r="Z149" s="2" t="str">
        <f ca="1">IF(NPS_Data[[#This Row],[RemarkHash]]="","OK",
   IF(COUNTIF(NPS_Data[RemarkHash],NPS_Data[[#This Row],[RemarkHash]])&gt;1,"RepeatedRemark","OK"))</f>
        <v>RepeatedRemark</v>
      </c>
      <c r="AA149" s="17">
        <f>IF( AND( ISNUMBER(NPS_Data[[#This Row],[CreatedDateTime]]), ISNUMBER(NPS_Data[[#This Row],[ResolvedDateTime]]) ), (NPS_Data[[#This Row],[ResolvedDateTime]] - NPS_Data[[#This Row],[CreatedDateTime]]) * 24, 0 )</f>
        <v>187.74444444448454</v>
      </c>
      <c r="AB149" s="65" t="str">
        <f>IF(NOT(ISNA(NPS_Data[[#This Row],[CreatedDateTime]])),
   YEAR(NPS_Data[[#This Row],[CreatedDateTime]]) &amp; "-" &amp; TEXT(WEEKNUM(NPS_Data[[#This Row],[CreatedDateTime]],2),"00"),
   "")</f>
        <v>2025-34</v>
      </c>
      <c r="AC149" s="14" t="str">
        <f>IF(NOT(ISNA(NPS_Data[[#This Row],[CreatedDateTime]])), TEXT(NPS_Data[[#This Row],[CreatedDateTime]],"YYYY-MM"), "")</f>
        <v>2025-08</v>
      </c>
      <c r="AD149" s="14" t="str">
        <f>IF(NOT(ISNUMBER(NPS_Data[[#This Row],[ResolutionHours]])),"Open", IF(NPS_Data[[#This Row],[ResolutionHours]]&gt;72,"Breach","OK"))</f>
        <v>Breach</v>
      </c>
      <c r="AE149" s="14">
        <f>IF(AND(ISNUMBER(NPS_Data[[#This Row],[CreatedDateTime]]), ISNUMBER(NPS_Data[[#This Row],[ResolvedDateTime]])), 1, 0)</f>
        <v>1</v>
      </c>
      <c r="AF149" s="48" t="str">
        <f>IF(NOT(ISNA(NPS_Data[[#This Row],[CreatedDateTime]])), TEXT(NPS_Data[[#This Row],[CreatedDateTime]],"dddd"), "")</f>
        <v>Monday</v>
      </c>
    </row>
    <row r="150" spans="1:32" x14ac:dyDescent="0.25">
      <c r="A150" s="2" t="s">
        <v>892</v>
      </c>
      <c r="B150" s="2" t="s">
        <v>120</v>
      </c>
      <c r="C150" s="2" t="s">
        <v>893</v>
      </c>
      <c r="D15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45882.603020833332</v>
      </c>
      <c r="E150" s="2" t="s">
        <v>104</v>
      </c>
      <c r="F150" s="2" t="s">
        <v>141</v>
      </c>
      <c r="G150" s="2" t="s">
        <v>894</v>
      </c>
      <c r="H150"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45885.541956018518</v>
      </c>
      <c r="I150" s="2" t="s">
        <v>23</v>
      </c>
      <c r="J150" s="2" t="s">
        <v>23</v>
      </c>
      <c r="K150" s="2" t="s">
        <v>88</v>
      </c>
      <c r="L150" s="2" t="s">
        <v>895</v>
      </c>
      <c r="M150" s="2" t="s">
        <v>896</v>
      </c>
      <c r="N150" s="2" t="s">
        <v>601</v>
      </c>
      <c r="O150" s="2" t="s">
        <v>48</v>
      </c>
      <c r="P150" s="2" t="s">
        <v>242</v>
      </c>
      <c r="Q150" s="3">
        <v>5</v>
      </c>
      <c r="R150" s="2" t="s">
        <v>30</v>
      </c>
      <c r="S150" s="2" t="s">
        <v>31</v>
      </c>
      <c r="T150" s="2" t="str">
        <f>IF(OR(NPS_Data[[#This Row],[CreatedDateTime]]="",NPS_Data[[#This Row],[Assigned To]]="",NPS_Data[[#This Row],[Issue 2 - NPS]]="",NPS_Data[[#This Row],[Program Name]]=""),"Missing","OK")</f>
        <v>OK</v>
      </c>
      <c r="U150" s="2" t="str">
        <f>IF(
  AND(NPS_Data[[#This Row],[Status]]="Complete", OR(ISNA(NPS_Data[[#This Row],[ResolvedDateTime]]), ISBLANK(NPS_Data[[#This Row],[ResolvedDateTime]]))),
  "CompleteNoResolved",
  IF(
    AND(NPS_Data[[#This Row],[Status]]="Pending", NPS_Data[[#This Row],[Sub Status]]="Solved"),
    "PendingButSolved",
    "OK"
  )
)</f>
        <v>OK</v>
      </c>
      <c r="V15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50" s="2" t="str">
        <f>IFERROR(TRIM(CLEAN(NPS_Data[[#This Row],[Ticket All Remarks]])),"")</f>
        <v>Applied to 43 DevOps positions but recruiters say experience looks theoretical. Need real production environment projects to demonstrate practical skills. || Resolution: Arranged internship-style capstone project with live infrastructure</v>
      </c>
      <c r="X150" s="2" cm="1">
        <f t="array" aca="1" ref="X150" ca="1">IF(NPS_Data[[#This Row],[CleanRemark]]="","",
   SUMPRODUCT(CODE(MID(NPS_Data[[#This Row],[CleanRemark]],ROW(INDIRECT("1:"&amp;LEN(NPS_Data[[#This Row],[CleanRemark]]))),1))))</f>
        <v>23075</v>
      </c>
      <c r="Y150" s="2" t="str">
        <f>IF(COUNTIF(NPS_Data[Ticket No],NPS_Data[[#This Row],[Ticket No]])&gt;1,"Duplicate","OK")</f>
        <v>OK</v>
      </c>
      <c r="Z150" s="2" t="str">
        <f ca="1">IF(NPS_Data[[#This Row],[RemarkHash]]="","OK",
   IF(COUNTIF(NPS_Data[RemarkHash],NPS_Data[[#This Row],[RemarkHash]])&gt;1,"RepeatedRemark","OK"))</f>
        <v>RepeatedRemark</v>
      </c>
      <c r="AA150" s="17">
        <f>IF( AND( ISNUMBER(NPS_Data[[#This Row],[CreatedDateTime]]), ISNUMBER(NPS_Data[[#This Row],[ResolvedDateTime]]) ), (NPS_Data[[#This Row],[ResolvedDateTime]] - NPS_Data[[#This Row],[CreatedDateTime]]) * 24, 0 )</f>
        <v>70.534444444463588</v>
      </c>
      <c r="AB150" s="65" t="str">
        <f>IF(NOT(ISNA(NPS_Data[[#This Row],[CreatedDateTime]])),
   YEAR(NPS_Data[[#This Row],[CreatedDateTime]]) &amp; "-" &amp; TEXT(WEEKNUM(NPS_Data[[#This Row],[CreatedDateTime]],2),"00"),
   "")</f>
        <v>2025-33</v>
      </c>
      <c r="AC150" s="14" t="str">
        <f>IF(NOT(ISNA(NPS_Data[[#This Row],[CreatedDateTime]])), TEXT(NPS_Data[[#This Row],[CreatedDateTime]],"YYYY-MM"), "")</f>
        <v>2025-08</v>
      </c>
      <c r="AD150" s="14" t="str">
        <f>IF(NOT(ISNUMBER(NPS_Data[[#This Row],[ResolutionHours]])),"Open", IF(NPS_Data[[#This Row],[ResolutionHours]]&gt;72,"Breach","OK"))</f>
        <v>OK</v>
      </c>
      <c r="AE150" s="14">
        <f>IF(AND(ISNUMBER(NPS_Data[[#This Row],[CreatedDateTime]]), ISNUMBER(NPS_Data[[#This Row],[ResolvedDateTime]])), 1, 0)</f>
        <v>1</v>
      </c>
      <c r="AF150" s="48" t="str">
        <f>IF(NOT(ISNA(NPS_Data[[#This Row],[CreatedDateTime]])), TEXT(NPS_Data[[#This Row],[CreatedDateTime]],"dddd"), "")</f>
        <v>Wednesday</v>
      </c>
    </row>
    <row r="151" spans="1:32" x14ac:dyDescent="0.25">
      <c r="A151" s="2" t="s">
        <v>897</v>
      </c>
      <c r="B151" s="2" t="s">
        <v>197</v>
      </c>
      <c r="C151" s="2" t="s">
        <v>898</v>
      </c>
      <c r="D15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45914.784895833334</v>
      </c>
      <c r="E151" s="2" t="s">
        <v>167</v>
      </c>
      <c r="F151" s="2" t="s">
        <v>372</v>
      </c>
      <c r="G151" s="2" t="s">
        <v>899</v>
      </c>
      <c r="H151"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45920.475925925923</v>
      </c>
      <c r="I151" s="2" t="s">
        <v>23</v>
      </c>
      <c r="J151" s="2" t="s">
        <v>23</v>
      </c>
      <c r="K151" s="2" t="s">
        <v>88</v>
      </c>
      <c r="L151" s="2" t="s">
        <v>900</v>
      </c>
      <c r="M151" s="2" t="s">
        <v>901</v>
      </c>
      <c r="N151" s="2" t="s">
        <v>633</v>
      </c>
      <c r="O151" s="2" t="s">
        <v>48</v>
      </c>
      <c r="P151" s="2" t="s">
        <v>132</v>
      </c>
      <c r="Q151" s="3">
        <v>4</v>
      </c>
      <c r="R151" s="2" t="s">
        <v>30</v>
      </c>
      <c r="S151" s="2" t="s">
        <v>133</v>
      </c>
      <c r="T151" s="2" t="str">
        <f>IF(OR(NPS_Data[[#This Row],[CreatedDateTime]]="",NPS_Data[[#This Row],[Assigned To]]="",NPS_Data[[#This Row],[Issue 2 - NPS]]="",NPS_Data[[#This Row],[Program Name]]=""),"Missing","OK")</f>
        <v>OK</v>
      </c>
      <c r="U151" s="2" t="str">
        <f>IF(
  AND(NPS_Data[[#This Row],[Status]]="Complete", OR(ISNA(NPS_Data[[#This Row],[ResolvedDateTime]]), ISBLANK(NPS_Data[[#This Row],[ResolvedDateTime]]))),
  "CompleteNoResolved",
  IF(
    AND(NPS_Data[[#This Row],[Status]]="Pending", NPS_Data[[#This Row],[Sub Status]]="Solved"),
    "PendingButSolved",
    "OK"
  )
)</f>
        <v>OK</v>
      </c>
      <c r="V15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51" s="2" t="str">
        <f>IFERROR(TRIM(CLEAN(NPS_Data[[#This Row],[Ticket All Remarks]])),"")</f>
        <v>Placement team requires 2+ years experience but won't help freshers. Catch-22 situation where experience needed for placement but placement needed for experience. || Resolution: Launched fresh graduate placement track with entry-level focused companies</v>
      </c>
      <c r="X151" s="2" cm="1">
        <f t="array" aca="1" ref="X151" ca="1">IF(NPS_Data[[#This Row],[CleanRemark]]="","",
   SUMPRODUCT(CODE(MID(NPS_Data[[#This Row],[CleanRemark]],ROW(INDIRECT("1:"&amp;LEN(NPS_Data[[#This Row],[CleanRemark]]))),1))))</f>
        <v>23910</v>
      </c>
      <c r="Y151" s="2" t="str">
        <f>IF(COUNTIF(NPS_Data[Ticket No],NPS_Data[[#This Row],[Ticket No]])&gt;1,"Duplicate","OK")</f>
        <v>OK</v>
      </c>
      <c r="Z151" s="2" t="str">
        <f ca="1">IF(NPS_Data[[#This Row],[RemarkHash]]="","OK",
   IF(COUNTIF(NPS_Data[RemarkHash],NPS_Data[[#This Row],[RemarkHash]])&gt;1,"RepeatedRemark","OK"))</f>
        <v>RepeatedRemark</v>
      </c>
      <c r="AA151" s="17">
        <f>IF( AND( ISNUMBER(NPS_Data[[#This Row],[CreatedDateTime]]), ISNUMBER(NPS_Data[[#This Row],[ResolvedDateTime]]) ), (NPS_Data[[#This Row],[ResolvedDateTime]] - NPS_Data[[#This Row],[CreatedDateTime]]) * 24, 0 )</f>
        <v>136.58472222212004</v>
      </c>
      <c r="AB151" s="65" t="str">
        <f>IF(NOT(ISNA(NPS_Data[[#This Row],[CreatedDateTime]])),
   YEAR(NPS_Data[[#This Row],[CreatedDateTime]]) &amp; "-" &amp; TEXT(WEEKNUM(NPS_Data[[#This Row],[CreatedDateTime]],2),"00"),
   "")</f>
        <v>2025-37</v>
      </c>
      <c r="AC151" s="14" t="str">
        <f>IF(NOT(ISNA(NPS_Data[[#This Row],[CreatedDateTime]])), TEXT(NPS_Data[[#This Row],[CreatedDateTime]],"YYYY-MM"), "")</f>
        <v>2025-09</v>
      </c>
      <c r="AD151" s="14" t="str">
        <f>IF(NOT(ISNUMBER(NPS_Data[[#This Row],[ResolutionHours]])),"Open", IF(NPS_Data[[#This Row],[ResolutionHours]]&gt;72,"Breach","OK"))</f>
        <v>Breach</v>
      </c>
      <c r="AE151" s="14">
        <f>IF(AND(ISNUMBER(NPS_Data[[#This Row],[CreatedDateTime]]), ISNUMBER(NPS_Data[[#This Row],[ResolvedDateTime]])), 1, 0)</f>
        <v>1</v>
      </c>
      <c r="AF151" s="48" t="str">
        <f>IF(NOT(ISNA(NPS_Data[[#This Row],[CreatedDateTime]])), TEXT(NPS_Data[[#This Row],[CreatedDateTime]],"dddd"), "")</f>
        <v>Sunday</v>
      </c>
    </row>
    <row r="152" spans="1:32" x14ac:dyDescent="0.25">
      <c r="A152" s="2" t="s">
        <v>902</v>
      </c>
      <c r="B152" s="2" t="s">
        <v>120</v>
      </c>
      <c r="C152" s="2" t="s">
        <v>903</v>
      </c>
      <c r="D15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45882.842685185184</v>
      </c>
      <c r="E152" s="2" t="s">
        <v>44</v>
      </c>
      <c r="F152" s="2" t="s">
        <v>172</v>
      </c>
      <c r="G152" s="2" t="s">
        <v>904</v>
      </c>
      <c r="H152"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45891.488761574074</v>
      </c>
      <c r="I152" s="2" t="s">
        <v>23</v>
      </c>
      <c r="J152" s="2" t="s">
        <v>23</v>
      </c>
      <c r="K152" s="2" t="s">
        <v>88</v>
      </c>
      <c r="L152" s="2" t="s">
        <v>905</v>
      </c>
      <c r="M152" s="2" t="s">
        <v>906</v>
      </c>
      <c r="N152" s="2" t="s">
        <v>811</v>
      </c>
      <c r="O152" s="2" t="s">
        <v>28</v>
      </c>
      <c r="P152" s="2" t="s">
        <v>242</v>
      </c>
      <c r="Q152" s="3">
        <v>5</v>
      </c>
      <c r="R152" s="2" t="s">
        <v>30</v>
      </c>
      <c r="S152" s="2" t="s">
        <v>31</v>
      </c>
      <c r="T152" s="2" t="str">
        <f>IF(OR(NPS_Data[[#This Row],[CreatedDateTime]]="",NPS_Data[[#This Row],[Assigned To]]="",NPS_Data[[#This Row],[Issue 2 - NPS]]="",NPS_Data[[#This Row],[Program Name]]=""),"Missing","OK")</f>
        <v>OK</v>
      </c>
      <c r="U152" s="2" t="str">
        <f>IF(
  AND(NPS_Data[[#This Row],[Status]]="Complete", OR(ISNA(NPS_Data[[#This Row],[ResolvedDateTime]]), ISBLANK(NPS_Data[[#This Row],[ResolvedDateTime]]))),
  "CompleteNoResolved",
  IF(
    AND(NPS_Data[[#This Row],[Status]]="Pending", NPS_Data[[#This Row],[Sub Status]]="Solved"),
    "PendingButSolved",
    "OK"
  )
)</f>
        <v>OK</v>
      </c>
      <c r="V15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52" s="2" t="str">
        <f>IFERROR(TRIM(CLEAN(NPS_Data[[#This Row],[Ticket All Remarks]])),"")</f>
        <v>Transitioning from mechanical engineering to software development. Resume lacks relevant projects and recruiters doubt career change authenticity. || Resolution: Created transition portfolio with domain-crossover projects</v>
      </c>
      <c r="X152" s="2" cm="1">
        <f t="array" aca="1" ref="X152" ca="1">IF(NPS_Data[[#This Row],[CleanRemark]]="","",
   SUMPRODUCT(CODE(MID(NPS_Data[[#This Row],[CleanRemark]],ROW(INDIRECT("1:"&amp;LEN(NPS_Data[[#This Row],[CleanRemark]]))),1))))</f>
        <v>21704</v>
      </c>
      <c r="Y152" s="2" t="str">
        <f>IF(COUNTIF(NPS_Data[Ticket No],NPS_Data[[#This Row],[Ticket No]])&gt;1,"Duplicate","OK")</f>
        <v>OK</v>
      </c>
      <c r="Z152" s="2" t="str">
        <f ca="1">IF(NPS_Data[[#This Row],[RemarkHash]]="","OK",
   IF(COUNTIF(NPS_Data[RemarkHash],NPS_Data[[#This Row],[RemarkHash]])&gt;1,"RepeatedRemark","OK"))</f>
        <v>RepeatedRemark</v>
      </c>
      <c r="AA152" s="17">
        <f>IF( AND( ISNUMBER(NPS_Data[[#This Row],[CreatedDateTime]]), ISNUMBER(NPS_Data[[#This Row],[ResolvedDateTime]]) ), (NPS_Data[[#This Row],[ResolvedDateTime]] - NPS_Data[[#This Row],[CreatedDateTime]]) * 24, 0 )</f>
        <v>207.50583333335817</v>
      </c>
      <c r="AB152" s="65" t="str">
        <f>IF(NOT(ISNA(NPS_Data[[#This Row],[CreatedDateTime]])),
   YEAR(NPS_Data[[#This Row],[CreatedDateTime]]) &amp; "-" &amp; TEXT(WEEKNUM(NPS_Data[[#This Row],[CreatedDateTime]],2),"00"),
   "")</f>
        <v>2025-33</v>
      </c>
      <c r="AC152" s="14" t="str">
        <f>IF(NOT(ISNA(NPS_Data[[#This Row],[CreatedDateTime]])), TEXT(NPS_Data[[#This Row],[CreatedDateTime]],"YYYY-MM"), "")</f>
        <v>2025-08</v>
      </c>
      <c r="AD152" s="14" t="str">
        <f>IF(NOT(ISNUMBER(NPS_Data[[#This Row],[ResolutionHours]])),"Open", IF(NPS_Data[[#This Row],[ResolutionHours]]&gt;72,"Breach","OK"))</f>
        <v>Breach</v>
      </c>
      <c r="AE152" s="14">
        <f>IF(AND(ISNUMBER(NPS_Data[[#This Row],[CreatedDateTime]]), ISNUMBER(NPS_Data[[#This Row],[ResolvedDateTime]])), 1, 0)</f>
        <v>1</v>
      </c>
      <c r="AF152" s="48" t="str">
        <f>IF(NOT(ISNA(NPS_Data[[#This Row],[CreatedDateTime]])), TEXT(NPS_Data[[#This Row],[CreatedDateTime]],"dddd"), "")</f>
        <v>Wednesday</v>
      </c>
    </row>
    <row r="153" spans="1:32" x14ac:dyDescent="0.25">
      <c r="A153" s="2" t="s">
        <v>907</v>
      </c>
      <c r="B153" s="2" t="s">
        <v>233</v>
      </c>
      <c r="C153" s="2" t="s">
        <v>908</v>
      </c>
      <c r="D15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45889.693402777775</v>
      </c>
      <c r="E153" s="2" t="s">
        <v>113</v>
      </c>
      <c r="F153" s="2" t="s">
        <v>191</v>
      </c>
      <c r="G153" s="2" t="s">
        <v>909</v>
      </c>
      <c r="H153"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45900.489895833336</v>
      </c>
      <c r="I153" s="2" t="s">
        <v>23</v>
      </c>
      <c r="J153" s="2" t="s">
        <v>23</v>
      </c>
      <c r="K153" s="2" t="s">
        <v>38</v>
      </c>
      <c r="L153" s="2" t="s">
        <v>910</v>
      </c>
      <c r="M153" s="2" t="s">
        <v>911</v>
      </c>
      <c r="N153" s="2" t="s">
        <v>468</v>
      </c>
      <c r="O153" s="2" t="s">
        <v>41</v>
      </c>
      <c r="P153" s="2" t="s">
        <v>379</v>
      </c>
      <c r="Q153" s="3">
        <v>7</v>
      </c>
      <c r="R153" s="2" t="s">
        <v>30</v>
      </c>
      <c r="S153" s="2" t="s">
        <v>31</v>
      </c>
      <c r="T153" s="2" t="str">
        <f>IF(OR(NPS_Data[[#This Row],[CreatedDateTime]]="",NPS_Data[[#This Row],[Assigned To]]="",NPS_Data[[#This Row],[Issue 2 - NPS]]="",NPS_Data[[#This Row],[Program Name]]=""),"Missing","OK")</f>
        <v>OK</v>
      </c>
      <c r="U153" s="2" t="str">
        <f>IF(
  AND(NPS_Data[[#This Row],[Status]]="Complete", OR(ISNA(NPS_Data[[#This Row],[ResolvedDateTime]]), ISBLANK(NPS_Data[[#This Row],[ResolvedDateTime]]))),
  "CompleteNoResolved",
  IF(
    AND(NPS_Data[[#This Row],[Status]]="Pending", NPS_Data[[#This Row],[Sub Status]]="Solved"),
    "PendingButSolved",
    "OK"
  )
)</f>
        <v>OK</v>
      </c>
      <c r="V15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53" s="2" t="str">
        <f>IFERROR(TRIM(CLEAN(NPS_Data[[#This Row],[Ticket All Remarks]])),"")</f>
        <v>Full Stack development track doesn't cover modern React patterns like hooks, context, or Next.js. Still teaching class components from React 16. || Resolution: Complete overhaul of React curriculum to cover React 18 features</v>
      </c>
      <c r="X153" s="2" cm="1">
        <f t="array" aca="1" ref="X153" ca="1">IF(NPS_Data[[#This Row],[CleanRemark]]="","",
   SUMPRODUCT(CODE(MID(NPS_Data[[#This Row],[CleanRemark]],ROW(INDIRECT("1:"&amp;LEN(NPS_Data[[#This Row],[CleanRemark]]))),1))))</f>
        <v>20868</v>
      </c>
      <c r="Y153" s="2" t="str">
        <f>IF(COUNTIF(NPS_Data[Ticket No],NPS_Data[[#This Row],[Ticket No]])&gt;1,"Duplicate","OK")</f>
        <v>OK</v>
      </c>
      <c r="Z153" s="2" t="str">
        <f ca="1">IF(NPS_Data[[#This Row],[RemarkHash]]="","OK",
   IF(COUNTIF(NPS_Data[RemarkHash],NPS_Data[[#This Row],[RemarkHash]])&gt;1,"RepeatedRemark","OK"))</f>
        <v>RepeatedRemark</v>
      </c>
      <c r="AA153" s="17">
        <f>IF( AND( ISNUMBER(NPS_Data[[#This Row],[CreatedDateTime]]), ISNUMBER(NPS_Data[[#This Row],[ResolvedDateTime]]) ), (NPS_Data[[#This Row],[ResolvedDateTime]] - NPS_Data[[#This Row],[CreatedDateTime]]) * 24, 0 )</f>
        <v>259.11583333346061</v>
      </c>
      <c r="AB153" s="65" t="str">
        <f>IF(NOT(ISNA(NPS_Data[[#This Row],[CreatedDateTime]])),
   YEAR(NPS_Data[[#This Row],[CreatedDateTime]]) &amp; "-" &amp; TEXT(WEEKNUM(NPS_Data[[#This Row],[CreatedDateTime]],2),"00"),
   "")</f>
        <v>2025-34</v>
      </c>
      <c r="AC153" s="14" t="str">
        <f>IF(NOT(ISNA(NPS_Data[[#This Row],[CreatedDateTime]])), TEXT(NPS_Data[[#This Row],[CreatedDateTime]],"YYYY-MM"), "")</f>
        <v>2025-08</v>
      </c>
      <c r="AD153" s="14" t="str">
        <f>IF(NOT(ISNUMBER(NPS_Data[[#This Row],[ResolutionHours]])),"Open", IF(NPS_Data[[#This Row],[ResolutionHours]]&gt;72,"Breach","OK"))</f>
        <v>Breach</v>
      </c>
      <c r="AE153" s="14">
        <f>IF(AND(ISNUMBER(NPS_Data[[#This Row],[CreatedDateTime]]), ISNUMBER(NPS_Data[[#This Row],[ResolvedDateTime]])), 1, 0)</f>
        <v>1</v>
      </c>
      <c r="AF153" s="48" t="str">
        <f>IF(NOT(ISNA(NPS_Data[[#This Row],[CreatedDateTime]])), TEXT(NPS_Data[[#This Row],[CreatedDateTime]],"dddd"), "")</f>
        <v>Wednesday</v>
      </c>
    </row>
    <row r="154" spans="1:32" x14ac:dyDescent="0.25">
      <c r="A154" s="2" t="s">
        <v>912</v>
      </c>
      <c r="B154" s="2" t="s">
        <v>197</v>
      </c>
      <c r="C154" s="2" t="s">
        <v>913</v>
      </c>
      <c r="D15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45914.529652777775</v>
      </c>
      <c r="E154" s="2" t="s">
        <v>167</v>
      </c>
      <c r="H154"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54" s="2" t="s">
        <v>23</v>
      </c>
      <c r="J154" s="2" t="s">
        <v>23</v>
      </c>
      <c r="K154" s="2" t="s">
        <v>88</v>
      </c>
      <c r="L154" s="2" t="s">
        <v>914</v>
      </c>
      <c r="M154" s="2" t="s">
        <v>915</v>
      </c>
      <c r="N154" s="2" t="s">
        <v>916</v>
      </c>
      <c r="O154" s="2" t="s">
        <v>28</v>
      </c>
      <c r="P154" s="2" t="s">
        <v>189</v>
      </c>
      <c r="Q154" s="3">
        <v>5</v>
      </c>
      <c r="R154" s="2" t="s">
        <v>49</v>
      </c>
      <c r="S154" s="2" t="s">
        <v>50</v>
      </c>
      <c r="T154" s="2" t="str">
        <f>IF(OR(NPS_Data[[#This Row],[CreatedDateTime]]="",NPS_Data[[#This Row],[Assigned To]]="",NPS_Data[[#This Row],[Issue 2 - NPS]]="",NPS_Data[[#This Row],[Program Name]]=""),"Missing","OK")</f>
        <v>OK</v>
      </c>
      <c r="U154" s="2" t="str">
        <f>IF(
  AND(NPS_Data[[#This Row],[Status]]="Complete", OR(ISNA(NPS_Data[[#This Row],[ResolvedDateTime]]), ISBLANK(NPS_Data[[#This Row],[ResolvedDateTime]]))),
  "CompleteNoResolved",
  IF(
    AND(NPS_Data[[#This Row],[Status]]="Pending", NPS_Data[[#This Row],[Sub Status]]="Solved"),
    "PendingButSolved",
    "OK"
  )
)</f>
        <v>OK</v>
      </c>
      <c r="V15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54" s="2" t="str">
        <f>IFERROR(TRIM(CLEAN(NPS_Data[[#This Row],[Ticket All Remarks]])),"")</f>
        <v>Contract/freelance offers available but seeking permanent positions with benefits and job security. Market seems tilted toward gig work. || Resolution: Targeted Infosys outreach focusing on full-time opportunity pipeline</v>
      </c>
      <c r="X154" s="2" cm="1">
        <f t="array" aca="1" ref="X154" ca="1">IF(NPS_Data[[#This Row],[CleanRemark]]="","",
   SUMPRODUCT(CODE(MID(NPS_Data[[#This Row],[CleanRemark]],ROW(INDIRECT("1:"&amp;LEN(NPS_Data[[#This Row],[CleanRemark]]))),1))))</f>
        <v>21300</v>
      </c>
      <c r="Y154" s="2" t="str">
        <f>IF(COUNTIF(NPS_Data[Ticket No],NPS_Data[[#This Row],[Ticket No]])&gt;1,"Duplicate","OK")</f>
        <v>OK</v>
      </c>
      <c r="Z154" s="2" t="str">
        <f ca="1">IF(NPS_Data[[#This Row],[RemarkHash]]="","OK",
   IF(COUNTIF(NPS_Data[RemarkHash],NPS_Data[[#This Row],[RemarkHash]])&gt;1,"RepeatedRemark","OK"))</f>
        <v>OK</v>
      </c>
      <c r="AA154" s="17">
        <f>IF( AND( ISNUMBER(NPS_Data[[#This Row],[CreatedDateTime]]), ISNUMBER(NPS_Data[[#This Row],[ResolvedDateTime]]) ), (NPS_Data[[#This Row],[ResolvedDateTime]] - NPS_Data[[#This Row],[CreatedDateTime]]) * 24, 0 )</f>
        <v>0</v>
      </c>
      <c r="AB154" s="65" t="str">
        <f>IF(NOT(ISNA(NPS_Data[[#This Row],[CreatedDateTime]])),
   YEAR(NPS_Data[[#This Row],[CreatedDateTime]]) &amp; "-" &amp; TEXT(WEEKNUM(NPS_Data[[#This Row],[CreatedDateTime]],2),"00"),
   "")</f>
        <v>2025-37</v>
      </c>
      <c r="AC154" s="14" t="str">
        <f>IF(NOT(ISNA(NPS_Data[[#This Row],[CreatedDateTime]])), TEXT(NPS_Data[[#This Row],[CreatedDateTime]],"YYYY-MM"), "")</f>
        <v>2025-09</v>
      </c>
      <c r="AD154" s="14" t="str">
        <f>IF(NOT(ISNUMBER(NPS_Data[[#This Row],[ResolutionHours]])),"Open", IF(NPS_Data[[#This Row],[ResolutionHours]]&gt;72,"Breach","OK"))</f>
        <v>OK</v>
      </c>
      <c r="AE154" s="14">
        <f>IF(AND(ISNUMBER(NPS_Data[[#This Row],[CreatedDateTime]]), ISNUMBER(NPS_Data[[#This Row],[ResolvedDateTime]])), 1, 0)</f>
        <v>0</v>
      </c>
      <c r="AF154" s="48" t="str">
        <f>IF(NOT(ISNA(NPS_Data[[#This Row],[CreatedDateTime]])), TEXT(NPS_Data[[#This Row],[CreatedDateTime]],"dddd"), "")</f>
        <v>Sunday</v>
      </c>
    </row>
    <row r="155" spans="1:32" x14ac:dyDescent="0.25">
      <c r="A155" s="2" t="s">
        <v>917</v>
      </c>
      <c r="B155" s="2" t="s">
        <v>918</v>
      </c>
      <c r="C155" s="2" t="s">
        <v>919</v>
      </c>
      <c r="D15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45911.522766203707</v>
      </c>
      <c r="E155" s="2" t="s">
        <v>80</v>
      </c>
      <c r="F155" s="2" t="s">
        <v>413</v>
      </c>
      <c r="G155" s="2" t="s">
        <v>920</v>
      </c>
      <c r="H155"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45917.629166666666</v>
      </c>
      <c r="I155" s="2" t="s">
        <v>23</v>
      </c>
      <c r="J155" s="2" t="s">
        <v>23</v>
      </c>
      <c r="K155" s="2" t="s">
        <v>38</v>
      </c>
      <c r="L155" s="2" t="s">
        <v>921</v>
      </c>
      <c r="M155" s="2" t="s">
        <v>922</v>
      </c>
      <c r="N155" s="2" t="s">
        <v>639</v>
      </c>
      <c r="O155" s="2" t="s">
        <v>28</v>
      </c>
      <c r="P155" s="2" t="s">
        <v>585</v>
      </c>
      <c r="Q155" s="3">
        <v>2</v>
      </c>
      <c r="R155" s="2" t="s">
        <v>30</v>
      </c>
      <c r="S155" s="2" t="s">
        <v>31</v>
      </c>
      <c r="T155" s="2" t="str">
        <f>IF(OR(NPS_Data[[#This Row],[CreatedDateTime]]="",NPS_Data[[#This Row],[Assigned To]]="",NPS_Data[[#This Row],[Issue 2 - NPS]]="",NPS_Data[[#This Row],[Program Name]]=""),"Missing","OK")</f>
        <v>OK</v>
      </c>
      <c r="U155" s="2" t="str">
        <f>IF(
  AND(NPS_Data[[#This Row],[Status]]="Complete", OR(ISNA(NPS_Data[[#This Row],[ResolvedDateTime]]), ISBLANK(NPS_Data[[#This Row],[ResolvedDateTime]]))),
  "CompleteNoResolved",
  IF(
    AND(NPS_Data[[#This Row],[Status]]="Pending", NPS_Data[[#This Row],[Sub Status]]="Solved"),
    "PendingButSolved",
    "OK"
  )
)</f>
        <v>OK</v>
      </c>
      <c r="V15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55" s="2" t="str">
        <f>IFERROR(TRIM(CLEAN(NPS_Data[[#This Row],[Ticket All Remarks]])),"")</f>
        <v>Screen sharing resolution too low during coding sessions. Can't read code examples on mobile device. Zoom compression makes text blurry. || Resolution: Upgraded streaming quality to 1080p and optimized for mobile viewing</v>
      </c>
      <c r="X155" s="2" cm="1">
        <f t="array" aca="1" ref="X155" ca="1">IF(NPS_Data[[#This Row],[CleanRemark]]="","",
   SUMPRODUCT(CODE(MID(NPS_Data[[#This Row],[CleanRemark]],ROW(INDIRECT("1:"&amp;LEN(NPS_Data[[#This Row],[CleanRemark]]))),1))))</f>
        <v>20792</v>
      </c>
      <c r="Y155" s="2" t="str">
        <f>IF(COUNTIF(NPS_Data[Ticket No],NPS_Data[[#This Row],[Ticket No]])&gt;1,"Duplicate","OK")</f>
        <v>OK</v>
      </c>
      <c r="Z155" s="2" t="str">
        <f ca="1">IF(NPS_Data[[#This Row],[RemarkHash]]="","OK",
   IF(COUNTIF(NPS_Data[RemarkHash],NPS_Data[[#This Row],[RemarkHash]])&gt;1,"RepeatedRemark","OK"))</f>
        <v>RepeatedRemark</v>
      </c>
      <c r="AA155" s="17">
        <f>IF( AND( ISNUMBER(NPS_Data[[#This Row],[CreatedDateTime]]), ISNUMBER(NPS_Data[[#This Row],[ResolvedDateTime]]) ), (NPS_Data[[#This Row],[ResolvedDateTime]] - NPS_Data[[#This Row],[CreatedDateTime]]) * 24, 0 )</f>
        <v>146.55361111101229</v>
      </c>
      <c r="AB155" s="65" t="str">
        <f>IF(NOT(ISNA(NPS_Data[[#This Row],[CreatedDateTime]])),
   YEAR(NPS_Data[[#This Row],[CreatedDateTime]]) &amp; "-" &amp; TEXT(WEEKNUM(NPS_Data[[#This Row],[CreatedDateTime]],2),"00"),
   "")</f>
        <v>2025-37</v>
      </c>
      <c r="AC155" s="14" t="str">
        <f>IF(NOT(ISNA(NPS_Data[[#This Row],[CreatedDateTime]])), TEXT(NPS_Data[[#This Row],[CreatedDateTime]],"YYYY-MM"), "")</f>
        <v>2025-09</v>
      </c>
      <c r="AD155" s="14" t="str">
        <f>IF(NOT(ISNUMBER(NPS_Data[[#This Row],[ResolutionHours]])),"Open", IF(NPS_Data[[#This Row],[ResolutionHours]]&gt;72,"Breach","OK"))</f>
        <v>Breach</v>
      </c>
      <c r="AE155" s="14">
        <f>IF(AND(ISNUMBER(NPS_Data[[#This Row],[CreatedDateTime]]), ISNUMBER(NPS_Data[[#This Row],[ResolvedDateTime]])), 1, 0)</f>
        <v>1</v>
      </c>
      <c r="AF155" s="48" t="str">
        <f>IF(NOT(ISNA(NPS_Data[[#This Row],[CreatedDateTime]])), TEXT(NPS_Data[[#This Row],[CreatedDateTime]],"dddd"), "")</f>
        <v>Thursday</v>
      </c>
    </row>
    <row r="156" spans="1:32" x14ac:dyDescent="0.25">
      <c r="A156" s="2" t="s">
        <v>923</v>
      </c>
      <c r="B156" s="2" t="s">
        <v>21</v>
      </c>
      <c r="C156" s="2" t="s">
        <v>924</v>
      </c>
      <c r="D15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45899.395902777775</v>
      </c>
      <c r="H156"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56" s="2" t="s">
        <v>23</v>
      </c>
      <c r="J156" s="2" t="s">
        <v>23</v>
      </c>
      <c r="K156" s="2" t="s">
        <v>88</v>
      </c>
      <c r="L156" s="2" t="s">
        <v>925</v>
      </c>
      <c r="M156" s="2" t="s">
        <v>926</v>
      </c>
      <c r="N156" s="2" t="s">
        <v>721</v>
      </c>
      <c r="O156" s="2" t="s">
        <v>177</v>
      </c>
      <c r="P156" s="2" t="s">
        <v>132</v>
      </c>
      <c r="Q156" s="3">
        <v>7</v>
      </c>
      <c r="R156" s="2" t="s">
        <v>49</v>
      </c>
      <c r="S156" s="2" t="s">
        <v>50</v>
      </c>
      <c r="T156" s="2" t="str">
        <f>IF(OR(NPS_Data[[#This Row],[CreatedDateTime]]="",NPS_Data[[#This Row],[Assigned To]]="",NPS_Data[[#This Row],[Issue 2 - NPS]]="",NPS_Data[[#This Row],[Program Name]]=""),"Missing","OK")</f>
        <v>Missing</v>
      </c>
      <c r="U156" s="2" t="str">
        <f>IF(
  AND(NPS_Data[[#This Row],[Status]]="Complete", OR(ISNA(NPS_Data[[#This Row],[ResolvedDateTime]]), ISBLANK(NPS_Data[[#This Row],[ResolvedDateTime]]))),
  "CompleteNoResolved",
  IF(
    AND(NPS_Data[[#This Row],[Status]]="Pending", NPS_Data[[#This Row],[Sub Status]]="Solved"),
    "PendingButSolved",
    "OK"
  )
)</f>
        <v>OK</v>
      </c>
      <c r="V15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56" s="2" t="str">
        <f>IFERROR(TRIM(CLEAN(NPS_Data[[#This Row],[Ticket All Remarks]])),"")</f>
        <v>Previous employment gap of 3 years due to child care responsibilities creates placement barrier. Returning mothers face additional discrimination. || Resolution: Partnered with diversity-focused companies supporting career restart initiatives</v>
      </c>
      <c r="X156" s="2" cm="1">
        <f t="array" aca="1" ref="X156" ca="1">IF(NPS_Data[[#This Row],[CleanRemark]]="","",
   SUMPRODUCT(CODE(MID(NPS_Data[[#This Row],[CleanRemark]],ROW(INDIRECT("1:"&amp;LEN(NPS_Data[[#This Row],[CleanRemark]]))),1))))</f>
        <v>23605</v>
      </c>
      <c r="Y156" s="2" t="str">
        <f>IF(COUNTIF(NPS_Data[Ticket No],NPS_Data[[#This Row],[Ticket No]])&gt;1,"Duplicate","OK")</f>
        <v>OK</v>
      </c>
      <c r="Z156" s="2" t="str">
        <f ca="1">IF(NPS_Data[[#This Row],[RemarkHash]]="","OK",
   IF(COUNTIF(NPS_Data[RemarkHash],NPS_Data[[#This Row],[RemarkHash]])&gt;1,"RepeatedRemark","OK"))</f>
        <v>RepeatedRemark</v>
      </c>
      <c r="AA156" s="17">
        <f>IF( AND( ISNUMBER(NPS_Data[[#This Row],[CreatedDateTime]]), ISNUMBER(NPS_Data[[#This Row],[ResolvedDateTime]]) ), (NPS_Data[[#This Row],[ResolvedDateTime]] - NPS_Data[[#This Row],[CreatedDateTime]]) * 24, 0 )</f>
        <v>0</v>
      </c>
      <c r="AB156" s="65" t="str">
        <f>IF(NOT(ISNA(NPS_Data[[#This Row],[CreatedDateTime]])),
   YEAR(NPS_Data[[#This Row],[CreatedDateTime]]) &amp; "-" &amp; TEXT(WEEKNUM(NPS_Data[[#This Row],[CreatedDateTime]],2),"00"),
   "")</f>
        <v>2025-35</v>
      </c>
      <c r="AC156" s="14" t="str">
        <f>IF(NOT(ISNA(NPS_Data[[#This Row],[CreatedDateTime]])), TEXT(NPS_Data[[#This Row],[CreatedDateTime]],"YYYY-MM"), "")</f>
        <v>2025-08</v>
      </c>
      <c r="AD156" s="14" t="str">
        <f>IF(NOT(ISNUMBER(NPS_Data[[#This Row],[ResolutionHours]])),"Open", IF(NPS_Data[[#This Row],[ResolutionHours]]&gt;72,"Breach","OK"))</f>
        <v>OK</v>
      </c>
      <c r="AE156" s="14">
        <f>IF(AND(ISNUMBER(NPS_Data[[#This Row],[CreatedDateTime]]), ISNUMBER(NPS_Data[[#This Row],[ResolvedDateTime]])), 1, 0)</f>
        <v>0</v>
      </c>
      <c r="AF156" s="48" t="str">
        <f>IF(NOT(ISNA(NPS_Data[[#This Row],[CreatedDateTime]])), TEXT(NPS_Data[[#This Row],[CreatedDateTime]],"dddd"), "")</f>
        <v>Saturday</v>
      </c>
    </row>
    <row r="157" spans="1:32" x14ac:dyDescent="0.25">
      <c r="A157" s="2" t="s">
        <v>927</v>
      </c>
      <c r="B157" s="2" t="s">
        <v>172</v>
      </c>
      <c r="C157" s="2" t="s">
        <v>928</v>
      </c>
      <c r="D15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45891.699120370373</v>
      </c>
      <c r="E157" s="2" t="s">
        <v>87</v>
      </c>
      <c r="F157" s="2" t="s">
        <v>813</v>
      </c>
      <c r="G157" s="2" t="s">
        <v>929</v>
      </c>
      <c r="H157"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45895.729421296295</v>
      </c>
      <c r="I157" s="2" t="s">
        <v>23</v>
      </c>
      <c r="J157" s="2" t="s">
        <v>23</v>
      </c>
      <c r="K157" s="2" t="s">
        <v>38</v>
      </c>
      <c r="L157" s="2" t="s">
        <v>930</v>
      </c>
      <c r="M157" s="2" t="s">
        <v>931</v>
      </c>
      <c r="N157" s="2" t="s">
        <v>932</v>
      </c>
      <c r="O157" s="2" t="s">
        <v>41</v>
      </c>
      <c r="P157" s="2" t="s">
        <v>379</v>
      </c>
      <c r="Q157" s="3">
        <v>8</v>
      </c>
      <c r="R157" s="2" t="s">
        <v>30</v>
      </c>
      <c r="S157" s="2" t="s">
        <v>31</v>
      </c>
      <c r="T157" s="2" t="str">
        <f>IF(OR(NPS_Data[[#This Row],[CreatedDateTime]]="",NPS_Data[[#This Row],[Assigned To]]="",NPS_Data[[#This Row],[Issue 2 - NPS]]="",NPS_Data[[#This Row],[Program Name]]=""),"Missing","OK")</f>
        <v>OK</v>
      </c>
      <c r="U157" s="2" t="str">
        <f>IF(
  AND(NPS_Data[[#This Row],[Status]]="Complete", OR(ISNA(NPS_Data[[#This Row],[ResolvedDateTime]]), ISBLANK(NPS_Data[[#This Row],[ResolvedDateTime]]))),
  "CompleteNoResolved",
  IF(
    AND(NPS_Data[[#This Row],[Status]]="Pending", NPS_Data[[#This Row],[Sub Status]]="Solved"),
    "PendingButSolved",
    "OK"
  )
)</f>
        <v>OK</v>
      </c>
      <c r="V15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57" s="2" t="str">
        <f>IFERROR(TRIM(CLEAN(NPS_Data[[#This Row],[Ticket All Remarks]])),"")</f>
        <v>Academy Python track missing async programming, type hints, and dataclasses. These are mandatory for senior roles at Google, Microsoft, Meta. Current content feels like 2020 curriculum. || Resolution: Added advanced Python module covering modern language features</v>
      </c>
      <c r="X157" s="2" cm="1">
        <f t="array" aca="1" ref="X157" ca="1">IF(NPS_Data[[#This Row],[CleanRemark]]="","",
   SUMPRODUCT(CODE(MID(NPS_Data[[#This Row],[CleanRemark]],ROW(INDIRECT("1:"&amp;LEN(NPS_Data[[#This Row],[CleanRemark]]))),1))))</f>
        <v>24650</v>
      </c>
      <c r="Y157" s="2" t="str">
        <f>IF(COUNTIF(NPS_Data[Ticket No],NPS_Data[[#This Row],[Ticket No]])&gt;1,"Duplicate","OK")</f>
        <v>OK</v>
      </c>
      <c r="Z157" s="2" t="str">
        <f ca="1">IF(NPS_Data[[#This Row],[RemarkHash]]="","OK",
   IF(COUNTIF(NPS_Data[RemarkHash],NPS_Data[[#This Row],[RemarkHash]])&gt;1,"RepeatedRemark","OK"))</f>
        <v>OK</v>
      </c>
      <c r="AA157" s="17">
        <f>IF( AND( ISNUMBER(NPS_Data[[#This Row],[CreatedDateTime]]), ISNUMBER(NPS_Data[[#This Row],[ResolvedDateTime]]) ), (NPS_Data[[#This Row],[ResolvedDateTime]] - NPS_Data[[#This Row],[CreatedDateTime]]) * 24, 0 )</f>
        <v>96.727222222136334</v>
      </c>
      <c r="AB157" s="65" t="str">
        <f>IF(NOT(ISNA(NPS_Data[[#This Row],[CreatedDateTime]])),
   YEAR(NPS_Data[[#This Row],[CreatedDateTime]]) &amp; "-" &amp; TEXT(WEEKNUM(NPS_Data[[#This Row],[CreatedDateTime]],2),"00"),
   "")</f>
        <v>2025-34</v>
      </c>
      <c r="AC157" s="14" t="str">
        <f>IF(NOT(ISNA(NPS_Data[[#This Row],[CreatedDateTime]])), TEXT(NPS_Data[[#This Row],[CreatedDateTime]],"YYYY-MM"), "")</f>
        <v>2025-08</v>
      </c>
      <c r="AD157" s="14" t="str">
        <f>IF(NOT(ISNUMBER(NPS_Data[[#This Row],[ResolutionHours]])),"Open", IF(NPS_Data[[#This Row],[ResolutionHours]]&gt;72,"Breach","OK"))</f>
        <v>Breach</v>
      </c>
      <c r="AE157" s="14">
        <f>IF(AND(ISNUMBER(NPS_Data[[#This Row],[CreatedDateTime]]), ISNUMBER(NPS_Data[[#This Row],[ResolvedDateTime]])), 1, 0)</f>
        <v>1</v>
      </c>
      <c r="AF157" s="48" t="str">
        <f>IF(NOT(ISNA(NPS_Data[[#This Row],[CreatedDateTime]])), TEXT(NPS_Data[[#This Row],[CreatedDateTime]],"dddd"), "")</f>
        <v>Friday</v>
      </c>
    </row>
    <row r="158" spans="1:32" x14ac:dyDescent="0.25">
      <c r="A158" s="2" t="s">
        <v>933</v>
      </c>
      <c r="B158" s="2" t="s">
        <v>441</v>
      </c>
      <c r="C158" s="2" t="s">
        <v>934</v>
      </c>
      <c r="D15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45877.716377314813</v>
      </c>
      <c r="E158" s="2" t="s">
        <v>219</v>
      </c>
      <c r="F158" s="2" t="s">
        <v>364</v>
      </c>
      <c r="G158" s="2" t="s">
        <v>935</v>
      </c>
      <c r="H158"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45883.447118055556</v>
      </c>
      <c r="I158" s="2" t="s">
        <v>23</v>
      </c>
      <c r="J158" s="2" t="s">
        <v>23</v>
      </c>
      <c r="K158" s="2" t="s">
        <v>38</v>
      </c>
      <c r="L158" s="2" t="s">
        <v>936</v>
      </c>
      <c r="M158" s="2" t="s">
        <v>937</v>
      </c>
      <c r="N158" s="2" t="s">
        <v>938</v>
      </c>
      <c r="O158" s="2" t="s">
        <v>177</v>
      </c>
      <c r="P158" s="2" t="s">
        <v>379</v>
      </c>
      <c r="Q158" s="3">
        <v>4</v>
      </c>
      <c r="R158" s="2" t="s">
        <v>30</v>
      </c>
      <c r="S158" s="2" t="s">
        <v>31</v>
      </c>
      <c r="T158" s="2" t="str">
        <f>IF(OR(NPS_Data[[#This Row],[CreatedDateTime]]="",NPS_Data[[#This Row],[Assigned To]]="",NPS_Data[[#This Row],[Issue 2 - NPS]]="",NPS_Data[[#This Row],[Program Name]]=""),"Missing","OK")</f>
        <v>OK</v>
      </c>
      <c r="U158" s="2" t="str">
        <f>IF(
  AND(NPS_Data[[#This Row],[Status]]="Complete", OR(ISNA(NPS_Data[[#This Row],[ResolvedDateTime]]), ISBLANK(NPS_Data[[#This Row],[ResolvedDateTime]]))),
  "CompleteNoResolved",
  IF(
    AND(NPS_Data[[#This Row],[Status]]="Pending", NPS_Data[[#This Row],[Sub Status]]="Solved"),
    "PendingButSolved",
    "OK"
  )
)</f>
        <v>OK</v>
      </c>
      <c r="V15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58" s="2" t="str">
        <f>IFERROR(TRIM(CLEAN(NPS_Data[[#This Row],[Ticket All Remarks]])),"")</f>
        <v>DevOps curriculum missing GitOps, service mesh, and observability tools. Only covers basic Docker and Jenkins. Modern DevOps uses ArgoCD, Istio, Prometheus. || Resolution: Updated DevOps track with cloud-native toolchain coverage</v>
      </c>
      <c r="X158" s="2" cm="1">
        <f t="array" aca="1" ref="X158" ca="1">IF(NPS_Data[[#This Row],[CleanRemark]]="","",
   SUMPRODUCT(CODE(MID(NPS_Data[[#This Row],[CleanRemark]],ROW(INDIRECT("1:"&amp;LEN(NPS_Data[[#This Row],[CleanRemark]]))),1))))</f>
        <v>21435</v>
      </c>
      <c r="Y158" s="2" t="str">
        <f>IF(COUNTIF(NPS_Data[Ticket No],NPS_Data[[#This Row],[Ticket No]])&gt;1,"Duplicate","OK")</f>
        <v>OK</v>
      </c>
      <c r="Z158" s="2" t="str">
        <f ca="1">IF(NPS_Data[[#This Row],[RemarkHash]]="","OK",
   IF(COUNTIF(NPS_Data[RemarkHash],NPS_Data[[#This Row],[RemarkHash]])&gt;1,"RepeatedRemark","OK"))</f>
        <v>OK</v>
      </c>
      <c r="AA158" s="17">
        <f>IF( AND( ISNUMBER(NPS_Data[[#This Row],[CreatedDateTime]]), ISNUMBER(NPS_Data[[#This Row],[ResolvedDateTime]]) ), (NPS_Data[[#This Row],[ResolvedDateTime]] - NPS_Data[[#This Row],[CreatedDateTime]]) * 24, 0 )</f>
        <v>137.53777777781943</v>
      </c>
      <c r="AB158" s="65" t="str">
        <f>IF(NOT(ISNA(NPS_Data[[#This Row],[CreatedDateTime]])),
   YEAR(NPS_Data[[#This Row],[CreatedDateTime]]) &amp; "-" &amp; TEXT(WEEKNUM(NPS_Data[[#This Row],[CreatedDateTime]],2),"00"),
   "")</f>
        <v>2025-32</v>
      </c>
      <c r="AC158" s="14" t="str">
        <f>IF(NOT(ISNA(NPS_Data[[#This Row],[CreatedDateTime]])), TEXT(NPS_Data[[#This Row],[CreatedDateTime]],"YYYY-MM"), "")</f>
        <v>2025-08</v>
      </c>
      <c r="AD158" s="14" t="str">
        <f>IF(NOT(ISNUMBER(NPS_Data[[#This Row],[ResolutionHours]])),"Open", IF(NPS_Data[[#This Row],[ResolutionHours]]&gt;72,"Breach","OK"))</f>
        <v>Breach</v>
      </c>
      <c r="AE158" s="14">
        <f>IF(AND(ISNUMBER(NPS_Data[[#This Row],[CreatedDateTime]]), ISNUMBER(NPS_Data[[#This Row],[ResolvedDateTime]])), 1, 0)</f>
        <v>1</v>
      </c>
      <c r="AF158" s="48" t="str">
        <f>IF(NOT(ISNA(NPS_Data[[#This Row],[CreatedDateTime]])), TEXT(NPS_Data[[#This Row],[CreatedDateTime]],"dddd"), "")</f>
        <v>Friday</v>
      </c>
    </row>
    <row r="159" spans="1:32" x14ac:dyDescent="0.25">
      <c r="A159" s="2" t="s">
        <v>939</v>
      </c>
      <c r="B159" s="2" t="s">
        <v>72</v>
      </c>
      <c r="C159" s="2" t="s">
        <v>940</v>
      </c>
      <c r="D15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45910.76902777778</v>
      </c>
      <c r="E159" s="2" t="s">
        <v>71</v>
      </c>
      <c r="F159" s="2" t="s">
        <v>63</v>
      </c>
      <c r="G159" s="2" t="s">
        <v>941</v>
      </c>
      <c r="H159"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45921.642372685186</v>
      </c>
      <c r="I159" s="2" t="s">
        <v>23</v>
      </c>
      <c r="J159" s="2" t="s">
        <v>23</v>
      </c>
      <c r="K159" s="2" t="s">
        <v>88</v>
      </c>
      <c r="L159" s="2" t="s">
        <v>942</v>
      </c>
      <c r="M159" s="2" t="s">
        <v>943</v>
      </c>
      <c r="N159" s="2" t="s">
        <v>781</v>
      </c>
      <c r="O159" s="2" t="s">
        <v>177</v>
      </c>
      <c r="P159" s="2" t="s">
        <v>189</v>
      </c>
      <c r="Q159" s="3">
        <v>5</v>
      </c>
      <c r="R159" s="2" t="s">
        <v>30</v>
      </c>
      <c r="S159" s="2" t="s">
        <v>31</v>
      </c>
      <c r="T159" s="2" t="str">
        <f>IF(OR(NPS_Data[[#This Row],[CreatedDateTime]]="",NPS_Data[[#This Row],[Assigned To]]="",NPS_Data[[#This Row],[Issue 2 - NPS]]="",NPS_Data[[#This Row],[Program Name]]=""),"Missing","OK")</f>
        <v>OK</v>
      </c>
      <c r="U159" s="2" t="str">
        <f>IF(
  AND(NPS_Data[[#This Row],[Status]]="Complete", OR(ISNA(NPS_Data[[#This Row],[ResolvedDateTime]]), ISBLANK(NPS_Data[[#This Row],[ResolvedDateTime]]))),
  "CompleteNoResolved",
  IF(
    AND(NPS_Data[[#This Row],[Status]]="Pending", NPS_Data[[#This Row],[Sub Status]]="Solved"),
    "PendingButSolved",
    "OK"
  )
)</f>
        <v>OK</v>
      </c>
      <c r="V15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59" s="2" t="str">
        <f>IFERROR(TRIM(CLEAN(NPS_Data[[#This Row],[Ticket All Remarks]])),"")</f>
        <v>Contract/freelance offers available but seeking permanent positions with benefits and job security. Market seems tilted toward gig work. || Resolution: Targeted Microsoft outreach focusing on full-time opportunity pipeline</v>
      </c>
      <c r="X159" s="2" cm="1">
        <f t="array" aca="1" ref="X159" ca="1">IF(NPS_Data[[#This Row],[CleanRemark]]="","",
   SUMPRODUCT(CODE(MID(NPS_Data[[#This Row],[CleanRemark]],ROW(INDIRECT("1:"&amp;LEN(NPS_Data[[#This Row],[CleanRemark]]))),1))))</f>
        <v>21503</v>
      </c>
      <c r="Y159" s="2" t="str">
        <f>IF(COUNTIF(NPS_Data[Ticket No],NPS_Data[[#This Row],[Ticket No]])&gt;1,"Duplicate","OK")</f>
        <v>OK</v>
      </c>
      <c r="Z159" s="2" t="str">
        <f ca="1">IF(NPS_Data[[#This Row],[RemarkHash]]="","OK",
   IF(COUNTIF(NPS_Data[RemarkHash],NPS_Data[[#This Row],[RemarkHash]])&gt;1,"RepeatedRemark","OK"))</f>
        <v>RepeatedRemark</v>
      </c>
      <c r="AA159" s="17">
        <f>IF( AND( ISNUMBER(NPS_Data[[#This Row],[CreatedDateTime]]), ISNUMBER(NPS_Data[[#This Row],[ResolvedDateTime]]) ), (NPS_Data[[#This Row],[ResolvedDateTime]] - NPS_Data[[#This Row],[CreatedDateTime]]) * 24, 0 )</f>
        <v>260.96027777774725</v>
      </c>
      <c r="AB159" s="65" t="str">
        <f>IF(NOT(ISNA(NPS_Data[[#This Row],[CreatedDateTime]])),
   YEAR(NPS_Data[[#This Row],[CreatedDateTime]]) &amp; "-" &amp; TEXT(WEEKNUM(NPS_Data[[#This Row],[CreatedDateTime]],2),"00"),
   "")</f>
        <v>2025-37</v>
      </c>
      <c r="AC159" s="14" t="str">
        <f>IF(NOT(ISNA(NPS_Data[[#This Row],[CreatedDateTime]])), TEXT(NPS_Data[[#This Row],[CreatedDateTime]],"YYYY-MM"), "")</f>
        <v>2025-09</v>
      </c>
      <c r="AD159" s="14" t="str">
        <f>IF(NOT(ISNUMBER(NPS_Data[[#This Row],[ResolutionHours]])),"Open", IF(NPS_Data[[#This Row],[ResolutionHours]]&gt;72,"Breach","OK"))</f>
        <v>Breach</v>
      </c>
      <c r="AE159" s="14">
        <f>IF(AND(ISNUMBER(NPS_Data[[#This Row],[CreatedDateTime]]), ISNUMBER(NPS_Data[[#This Row],[ResolvedDateTime]])), 1, 0)</f>
        <v>1</v>
      </c>
      <c r="AF159" s="48" t="str">
        <f>IF(NOT(ISNA(NPS_Data[[#This Row],[CreatedDateTime]])), TEXT(NPS_Data[[#This Row],[CreatedDateTime]],"dddd"), "")</f>
        <v>Wednesday</v>
      </c>
    </row>
    <row r="160" spans="1:32" x14ac:dyDescent="0.25">
      <c r="A160" s="2" t="s">
        <v>944</v>
      </c>
      <c r="B160" s="2" t="s">
        <v>63</v>
      </c>
      <c r="C160" s="2" t="s">
        <v>945</v>
      </c>
      <c r="D16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45921.671712962961</v>
      </c>
      <c r="E160" s="2" t="s">
        <v>87</v>
      </c>
      <c r="H160"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60" s="2" t="s">
        <v>23</v>
      </c>
      <c r="J160" s="2" t="s">
        <v>23</v>
      </c>
      <c r="K160" s="2" t="s">
        <v>24</v>
      </c>
      <c r="L160" s="2" t="s">
        <v>946</v>
      </c>
      <c r="M160" s="2" t="s">
        <v>947</v>
      </c>
      <c r="N160" s="2" t="s">
        <v>948</v>
      </c>
      <c r="O160" s="2" t="s">
        <v>48</v>
      </c>
      <c r="P160" s="2" t="s">
        <v>216</v>
      </c>
      <c r="Q160" s="3">
        <v>5</v>
      </c>
      <c r="R160" s="2" t="s">
        <v>49</v>
      </c>
      <c r="S160" s="2" t="s">
        <v>133</v>
      </c>
      <c r="T160" s="2" t="str">
        <f>IF(OR(NPS_Data[[#This Row],[CreatedDateTime]]="",NPS_Data[[#This Row],[Assigned To]]="",NPS_Data[[#This Row],[Issue 2 - NPS]]="",NPS_Data[[#This Row],[Program Name]]=""),"Missing","OK")</f>
        <v>OK</v>
      </c>
      <c r="U160" s="2" t="str">
        <f>IF(
  AND(NPS_Data[[#This Row],[Status]]="Complete", OR(ISNA(NPS_Data[[#This Row],[ResolvedDateTime]]), ISBLANK(NPS_Data[[#This Row],[ResolvedDateTime]]))),
  "CompleteNoResolved",
  IF(
    AND(NPS_Data[[#This Row],[Status]]="Pending", NPS_Data[[#This Row],[Sub Status]]="Solved"),
    "PendingButSolved",
    "OK"
  )
)</f>
        <v>OK</v>
      </c>
      <c r="V16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60" s="2" t="str">
        <f>IFERROR(TRIM(CLEAN(NPS_Data[[#This Row],[Ticket All Remarks]])),"")</f>
        <v>Career guidance sessions focus only on technical skills. No discussion about salary negotiation, PayTM culture fit, or work-life balance considerations. || Resolution: Introduced holistic career coaching covering all professional aspects</v>
      </c>
      <c r="X160" s="2" cm="1">
        <f t="array" aca="1" ref="X160" ca="1">IF(NPS_Data[[#This Row],[CleanRemark]]="","",
   SUMPRODUCT(CODE(MID(NPS_Data[[#This Row],[CleanRemark]],ROW(INDIRECT("1:"&amp;LEN(NPS_Data[[#This Row],[CleanRemark]]))),1))))</f>
        <v>22770</v>
      </c>
      <c r="Y160" s="2" t="str">
        <f>IF(COUNTIF(NPS_Data[Ticket No],NPS_Data[[#This Row],[Ticket No]])&gt;1,"Duplicate","OK")</f>
        <v>OK</v>
      </c>
      <c r="Z160" s="2" t="str">
        <f ca="1">IF(NPS_Data[[#This Row],[RemarkHash]]="","OK",
   IF(COUNTIF(NPS_Data[RemarkHash],NPS_Data[[#This Row],[RemarkHash]])&gt;1,"RepeatedRemark","OK"))</f>
        <v>OK</v>
      </c>
      <c r="AA160" s="17">
        <f>IF( AND( ISNUMBER(NPS_Data[[#This Row],[CreatedDateTime]]), ISNUMBER(NPS_Data[[#This Row],[ResolvedDateTime]]) ), (NPS_Data[[#This Row],[ResolvedDateTime]] - NPS_Data[[#This Row],[CreatedDateTime]]) * 24, 0 )</f>
        <v>0</v>
      </c>
      <c r="AB160" s="65" t="str">
        <f>IF(NOT(ISNA(NPS_Data[[#This Row],[CreatedDateTime]])),
   YEAR(NPS_Data[[#This Row],[CreatedDateTime]]) &amp; "-" &amp; TEXT(WEEKNUM(NPS_Data[[#This Row],[CreatedDateTime]],2),"00"),
   "")</f>
        <v>2025-38</v>
      </c>
      <c r="AC160" s="14" t="str">
        <f>IF(NOT(ISNA(NPS_Data[[#This Row],[CreatedDateTime]])), TEXT(NPS_Data[[#This Row],[CreatedDateTime]],"YYYY-MM"), "")</f>
        <v>2025-09</v>
      </c>
      <c r="AD160" s="14" t="str">
        <f>IF(NOT(ISNUMBER(NPS_Data[[#This Row],[ResolutionHours]])),"Open", IF(NPS_Data[[#This Row],[ResolutionHours]]&gt;72,"Breach","OK"))</f>
        <v>OK</v>
      </c>
      <c r="AE160" s="14">
        <f>IF(AND(ISNUMBER(NPS_Data[[#This Row],[CreatedDateTime]]), ISNUMBER(NPS_Data[[#This Row],[ResolvedDateTime]])), 1, 0)</f>
        <v>0</v>
      </c>
      <c r="AF160" s="48" t="str">
        <f>IF(NOT(ISNA(NPS_Data[[#This Row],[CreatedDateTime]])), TEXT(NPS_Data[[#This Row],[CreatedDateTime]],"dddd"), "")</f>
        <v>Sunday</v>
      </c>
    </row>
    <row r="161" spans="1:32" x14ac:dyDescent="0.25">
      <c r="A161" s="2" t="s">
        <v>949</v>
      </c>
      <c r="B161" s="2" t="s">
        <v>813</v>
      </c>
      <c r="C161" s="2" t="s">
        <v>950</v>
      </c>
      <c r="D16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45895.775752314818</v>
      </c>
      <c r="E161" s="2" t="s">
        <v>219</v>
      </c>
      <c r="F161" s="2" t="s">
        <v>94</v>
      </c>
      <c r="G161" s="2" t="s">
        <v>951</v>
      </c>
      <c r="H161"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45901.621168981481</v>
      </c>
      <c r="I161" s="2" t="s">
        <v>23</v>
      </c>
      <c r="J161" s="2" t="s">
        <v>23</v>
      </c>
      <c r="K161" s="2" t="s">
        <v>38</v>
      </c>
      <c r="L161" s="2" t="s">
        <v>952</v>
      </c>
      <c r="M161" s="2" t="s">
        <v>953</v>
      </c>
      <c r="N161" s="2" t="s">
        <v>954</v>
      </c>
      <c r="O161" s="2" t="s">
        <v>177</v>
      </c>
      <c r="P161" s="2" t="s">
        <v>585</v>
      </c>
      <c r="Q161" s="3">
        <v>4</v>
      </c>
      <c r="R161" s="2" t="s">
        <v>30</v>
      </c>
      <c r="S161" s="2" t="s">
        <v>31</v>
      </c>
      <c r="T161" s="2" t="str">
        <f>IF(OR(NPS_Data[[#This Row],[CreatedDateTime]]="",NPS_Data[[#This Row],[Assigned To]]="",NPS_Data[[#This Row],[Issue 2 - NPS]]="",NPS_Data[[#This Row],[Program Name]]=""),"Missing","OK")</f>
        <v>OK</v>
      </c>
      <c r="U161" s="2" t="str">
        <f>IF(
  AND(NPS_Data[[#This Row],[Status]]="Complete", OR(ISNA(NPS_Data[[#This Row],[ResolvedDateTime]]), ISBLANK(NPS_Data[[#This Row],[ResolvedDateTime]]))),
  "CompleteNoResolved",
  IF(
    AND(NPS_Data[[#This Row],[Status]]="Pending", NPS_Data[[#This Row],[Sub Status]]="Solved"),
    "PendingButSolved",
    "OK"
  )
)</f>
        <v>OK</v>
      </c>
      <c r="V16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61" s="2" t="str">
        <f>IFERROR(TRIM(CLEAN(NPS_Data[[#This Row],[Ticket All Remarks]])),"")</f>
        <v>Audio-video sync issues during recorded playback. Instructor Nina Patel's voice doesn't match lip movement by 2-3 seconds. Distracting during learning. || Resolution: Fixed encoding pipeline and re-processed affected recordings</v>
      </c>
      <c r="X161" s="2" cm="1">
        <f t="array" aca="1" ref="X161" ca="1">IF(NPS_Data[[#This Row],[CleanRemark]]="","",
   SUMPRODUCT(CODE(MID(NPS_Data[[#This Row],[CleanRemark]],ROW(INDIRECT("1:"&amp;LEN(NPS_Data[[#This Row],[CleanRemark]]))),1))))</f>
        <v>21392</v>
      </c>
      <c r="Y161" s="2" t="str">
        <f>IF(COUNTIF(NPS_Data[Ticket No],NPS_Data[[#This Row],[Ticket No]])&gt;1,"Duplicate","OK")</f>
        <v>OK</v>
      </c>
      <c r="Z161" s="2" t="str">
        <f ca="1">IF(NPS_Data[[#This Row],[RemarkHash]]="","OK",
   IF(COUNTIF(NPS_Data[RemarkHash],NPS_Data[[#This Row],[RemarkHash]])&gt;1,"RepeatedRemark","OK"))</f>
        <v>OK</v>
      </c>
      <c r="AA161" s="17">
        <f>IF( AND( ISNUMBER(NPS_Data[[#This Row],[CreatedDateTime]]), ISNUMBER(NPS_Data[[#This Row],[ResolvedDateTime]]) ), (NPS_Data[[#This Row],[ResolvedDateTime]] - NPS_Data[[#This Row],[CreatedDateTime]]) * 24, 0 )</f>
        <v>140.28999999992084</v>
      </c>
      <c r="AB161" s="65" t="str">
        <f>IF(NOT(ISNA(NPS_Data[[#This Row],[CreatedDateTime]])),
   YEAR(NPS_Data[[#This Row],[CreatedDateTime]]) &amp; "-" &amp; TEXT(WEEKNUM(NPS_Data[[#This Row],[CreatedDateTime]],2),"00"),
   "")</f>
        <v>2025-35</v>
      </c>
      <c r="AC161" s="14" t="str">
        <f>IF(NOT(ISNA(NPS_Data[[#This Row],[CreatedDateTime]])), TEXT(NPS_Data[[#This Row],[CreatedDateTime]],"YYYY-MM"), "")</f>
        <v>2025-08</v>
      </c>
      <c r="AD161" s="14" t="str">
        <f>IF(NOT(ISNUMBER(NPS_Data[[#This Row],[ResolutionHours]])),"Open", IF(NPS_Data[[#This Row],[ResolutionHours]]&gt;72,"Breach","OK"))</f>
        <v>Breach</v>
      </c>
      <c r="AE161" s="14">
        <f>IF(AND(ISNUMBER(NPS_Data[[#This Row],[CreatedDateTime]]), ISNUMBER(NPS_Data[[#This Row],[ResolvedDateTime]])), 1, 0)</f>
        <v>1</v>
      </c>
      <c r="AF161" s="48" t="str">
        <f>IF(NOT(ISNA(NPS_Data[[#This Row],[CreatedDateTime]])), TEXT(NPS_Data[[#This Row],[CreatedDateTime]],"dddd"), "")</f>
        <v>Tuesday</v>
      </c>
    </row>
    <row r="162" spans="1:32" x14ac:dyDescent="0.25">
      <c r="A162" s="2" t="s">
        <v>955</v>
      </c>
      <c r="B162" s="2" t="s">
        <v>513</v>
      </c>
      <c r="C162" s="2" t="s">
        <v>956</v>
      </c>
      <c r="D16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45893.632997685185</v>
      </c>
      <c r="E162" s="2" t="s">
        <v>80</v>
      </c>
      <c r="F162" s="2" t="s">
        <v>33</v>
      </c>
      <c r="G162" s="2" t="s">
        <v>957</v>
      </c>
      <c r="H162"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45902.643495370372</v>
      </c>
      <c r="I162" s="2" t="s">
        <v>23</v>
      </c>
      <c r="J162" s="2" t="s">
        <v>23</v>
      </c>
      <c r="K162" s="2" t="s">
        <v>38</v>
      </c>
      <c r="L162" s="2" t="s">
        <v>958</v>
      </c>
      <c r="M162" s="2" t="s">
        <v>959</v>
      </c>
      <c r="N162" s="2" t="s">
        <v>378</v>
      </c>
      <c r="O162" s="2" t="s">
        <v>177</v>
      </c>
      <c r="P162" s="2" t="s">
        <v>379</v>
      </c>
      <c r="Q162" s="3">
        <v>7</v>
      </c>
      <c r="R162" s="2" t="s">
        <v>30</v>
      </c>
      <c r="S162" s="2" t="s">
        <v>31</v>
      </c>
      <c r="T162" s="2" t="str">
        <f>IF(OR(NPS_Data[[#This Row],[CreatedDateTime]]="",NPS_Data[[#This Row],[Assigned To]]="",NPS_Data[[#This Row],[Issue 2 - NPS]]="",NPS_Data[[#This Row],[Program Name]]=""),"Missing","OK")</f>
        <v>OK</v>
      </c>
      <c r="U162" s="2" t="str">
        <f>IF(
  AND(NPS_Data[[#This Row],[Status]]="Complete", OR(ISNA(NPS_Data[[#This Row],[ResolvedDateTime]]), ISBLANK(NPS_Data[[#This Row],[ResolvedDateTime]]))),
  "CompleteNoResolved",
  IF(
    AND(NPS_Data[[#This Row],[Status]]="Pending", NPS_Data[[#This Row],[Sub Status]]="Solved"),
    "PendingButSolved",
    "OK"
  )
)</f>
        <v>OK</v>
      </c>
      <c r="V16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62" s="2" t="str">
        <f>IFERROR(TRIM(CLEAN(NPS_Data[[#This Row],[Ticket All Remarks]])),"")</f>
        <v>Machine Learning module lacks MLOps content. No coverage of model deployment, monitoring, or A/B testing. Industry expects end-to-end ML pipeline knowledge. || Resolution: Adding MLOps specialization track with hands-on deployment projects</v>
      </c>
      <c r="X162" s="2" cm="1">
        <f t="array" aca="1" ref="X162" ca="1">IF(NPS_Data[[#This Row],[CleanRemark]]="","",
   SUMPRODUCT(CODE(MID(NPS_Data[[#This Row],[CleanRemark]],ROW(INDIRECT("1:"&amp;LEN(NPS_Data[[#This Row],[CleanRemark]]))),1))))</f>
        <v>22411</v>
      </c>
      <c r="Y162" s="2" t="str">
        <f>IF(COUNTIF(NPS_Data[Ticket No],NPS_Data[[#This Row],[Ticket No]])&gt;1,"Duplicate","OK")</f>
        <v>OK</v>
      </c>
      <c r="Z162" s="2" t="str">
        <f ca="1">IF(NPS_Data[[#This Row],[RemarkHash]]="","OK",
   IF(COUNTIF(NPS_Data[RemarkHash],NPS_Data[[#This Row],[RemarkHash]])&gt;1,"RepeatedRemark","OK"))</f>
        <v>RepeatedRemark</v>
      </c>
      <c r="AA162" s="17">
        <f>IF( AND( ISNUMBER(NPS_Data[[#This Row],[CreatedDateTime]]), ISNUMBER(NPS_Data[[#This Row],[ResolvedDateTime]]) ), (NPS_Data[[#This Row],[ResolvedDateTime]] - NPS_Data[[#This Row],[CreatedDateTime]]) * 24, 0 )</f>
        <v>216.25194444449153</v>
      </c>
      <c r="AB162" s="65" t="str">
        <f>IF(NOT(ISNA(NPS_Data[[#This Row],[CreatedDateTime]])),
   YEAR(NPS_Data[[#This Row],[CreatedDateTime]]) &amp; "-" &amp; TEXT(WEEKNUM(NPS_Data[[#This Row],[CreatedDateTime]],2),"00"),
   "")</f>
        <v>2025-34</v>
      </c>
      <c r="AC162" s="14" t="str">
        <f>IF(NOT(ISNA(NPS_Data[[#This Row],[CreatedDateTime]])), TEXT(NPS_Data[[#This Row],[CreatedDateTime]],"YYYY-MM"), "")</f>
        <v>2025-08</v>
      </c>
      <c r="AD162" s="14" t="str">
        <f>IF(NOT(ISNUMBER(NPS_Data[[#This Row],[ResolutionHours]])),"Open", IF(NPS_Data[[#This Row],[ResolutionHours]]&gt;72,"Breach","OK"))</f>
        <v>Breach</v>
      </c>
      <c r="AE162" s="14">
        <f>IF(AND(ISNUMBER(NPS_Data[[#This Row],[CreatedDateTime]]), ISNUMBER(NPS_Data[[#This Row],[ResolvedDateTime]])), 1, 0)</f>
        <v>1</v>
      </c>
      <c r="AF162" s="48" t="str">
        <f>IF(NOT(ISNA(NPS_Data[[#This Row],[CreatedDateTime]])), TEXT(NPS_Data[[#This Row],[CreatedDateTime]],"dddd"), "")</f>
        <v>Sunday</v>
      </c>
    </row>
    <row r="163" spans="1:32" x14ac:dyDescent="0.25">
      <c r="A163" s="2" t="s">
        <v>960</v>
      </c>
      <c r="B163" s="2" t="s">
        <v>343</v>
      </c>
      <c r="C163" s="2" t="s">
        <v>961</v>
      </c>
      <c r="D16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45888.672361111108</v>
      </c>
      <c r="E163" s="2" t="s">
        <v>104</v>
      </c>
      <c r="F163" s="2" t="s">
        <v>492</v>
      </c>
      <c r="G163" s="2" t="s">
        <v>962</v>
      </c>
      <c r="H163"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45894.693784722222</v>
      </c>
      <c r="I163" s="2" t="s">
        <v>23</v>
      </c>
      <c r="J163" s="2" t="s">
        <v>23</v>
      </c>
      <c r="K163" s="2" t="s">
        <v>38</v>
      </c>
      <c r="L163" s="2" t="s">
        <v>963</v>
      </c>
      <c r="M163" s="2" t="s">
        <v>964</v>
      </c>
      <c r="N163" s="2" t="s">
        <v>639</v>
      </c>
      <c r="O163" s="2" t="s">
        <v>48</v>
      </c>
      <c r="P163" s="2" t="s">
        <v>585</v>
      </c>
      <c r="Q163" s="3">
        <v>3</v>
      </c>
      <c r="R163" s="2" t="s">
        <v>30</v>
      </c>
      <c r="S163" s="2" t="s">
        <v>31</v>
      </c>
      <c r="T163" s="2" t="str">
        <f>IF(OR(NPS_Data[[#This Row],[CreatedDateTime]]="",NPS_Data[[#This Row],[Assigned To]]="",NPS_Data[[#This Row],[Issue 2 - NPS]]="",NPS_Data[[#This Row],[Program Name]]=""),"Missing","OK")</f>
        <v>OK</v>
      </c>
      <c r="U163" s="2" t="str">
        <f>IF(
  AND(NPS_Data[[#This Row],[Status]]="Complete", OR(ISNA(NPS_Data[[#This Row],[ResolvedDateTime]]), ISBLANK(NPS_Data[[#This Row],[ResolvedDateTime]]))),
  "CompleteNoResolved",
  IF(
    AND(NPS_Data[[#This Row],[Status]]="Pending", NPS_Data[[#This Row],[Sub Status]]="Solved"),
    "PendingButSolved",
    "OK"
  )
)</f>
        <v>OK</v>
      </c>
      <c r="V16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63" s="2" t="str">
        <f>IFERROR(TRIM(CLEAN(NPS_Data[[#This Row],[Ticket All Remarks]])),"")</f>
        <v>Screen sharing resolution too low during coding sessions. Can't read code examples on mobile device. Zoom compression makes text blurry. || Resolution: Upgraded streaming quality to 1080p and optimized for mobile viewing</v>
      </c>
      <c r="X163" s="2" cm="1">
        <f t="array" aca="1" ref="X163" ca="1">IF(NPS_Data[[#This Row],[CleanRemark]]="","",
   SUMPRODUCT(CODE(MID(NPS_Data[[#This Row],[CleanRemark]],ROW(INDIRECT("1:"&amp;LEN(NPS_Data[[#This Row],[CleanRemark]]))),1))))</f>
        <v>20792</v>
      </c>
      <c r="Y163" s="2" t="str">
        <f>IF(COUNTIF(NPS_Data[Ticket No],NPS_Data[[#This Row],[Ticket No]])&gt;1,"Duplicate","OK")</f>
        <v>OK</v>
      </c>
      <c r="Z163" s="2" t="str">
        <f ca="1">IF(NPS_Data[[#This Row],[RemarkHash]]="","OK",
   IF(COUNTIF(NPS_Data[RemarkHash],NPS_Data[[#This Row],[RemarkHash]])&gt;1,"RepeatedRemark","OK"))</f>
        <v>RepeatedRemark</v>
      </c>
      <c r="AA163" s="17">
        <f>IF( AND( ISNUMBER(NPS_Data[[#This Row],[CreatedDateTime]]), ISNUMBER(NPS_Data[[#This Row],[ResolvedDateTime]]) ), (NPS_Data[[#This Row],[ResolvedDateTime]] - NPS_Data[[#This Row],[CreatedDateTime]]) * 24, 0 )</f>
        <v>144.51416666671867</v>
      </c>
      <c r="AB163" s="65" t="str">
        <f>IF(NOT(ISNA(NPS_Data[[#This Row],[CreatedDateTime]])),
   YEAR(NPS_Data[[#This Row],[CreatedDateTime]]) &amp; "-" &amp; TEXT(WEEKNUM(NPS_Data[[#This Row],[CreatedDateTime]],2),"00"),
   "")</f>
        <v>2025-34</v>
      </c>
      <c r="AC163" s="14" t="str">
        <f>IF(NOT(ISNA(NPS_Data[[#This Row],[CreatedDateTime]])), TEXT(NPS_Data[[#This Row],[CreatedDateTime]],"YYYY-MM"), "")</f>
        <v>2025-08</v>
      </c>
      <c r="AD163" s="14" t="str">
        <f>IF(NOT(ISNUMBER(NPS_Data[[#This Row],[ResolutionHours]])),"Open", IF(NPS_Data[[#This Row],[ResolutionHours]]&gt;72,"Breach","OK"))</f>
        <v>Breach</v>
      </c>
      <c r="AE163" s="14">
        <f>IF(AND(ISNUMBER(NPS_Data[[#This Row],[CreatedDateTime]]), ISNUMBER(NPS_Data[[#This Row],[ResolvedDateTime]])), 1, 0)</f>
        <v>1</v>
      </c>
      <c r="AF163" s="48" t="str">
        <f>IF(NOT(ISNA(NPS_Data[[#This Row],[CreatedDateTime]])), TEXT(NPS_Data[[#This Row],[CreatedDateTime]],"dddd"), "")</f>
        <v>Tuesday</v>
      </c>
    </row>
    <row r="164" spans="1:32" x14ac:dyDescent="0.25">
      <c r="A164" s="2" t="s">
        <v>965</v>
      </c>
      <c r="B164" s="2" t="s">
        <v>143</v>
      </c>
      <c r="C164" s="2" t="s">
        <v>966</v>
      </c>
      <c r="D16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45896.543252314812</v>
      </c>
      <c r="E164" s="2" t="s">
        <v>35</v>
      </c>
      <c r="F164" s="2" t="s">
        <v>255</v>
      </c>
      <c r="G164" s="2" t="s">
        <v>967</v>
      </c>
      <c r="H164"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45904.673668981479</v>
      </c>
      <c r="I164" s="2" t="s">
        <v>23</v>
      </c>
      <c r="J164" s="2" t="s">
        <v>23</v>
      </c>
      <c r="K164" s="2" t="s">
        <v>88</v>
      </c>
      <c r="L164" s="2" t="s">
        <v>968</v>
      </c>
      <c r="M164" s="2" t="s">
        <v>969</v>
      </c>
      <c r="N164" s="2" t="s">
        <v>970</v>
      </c>
      <c r="O164" s="2" t="s">
        <v>28</v>
      </c>
      <c r="P164" s="2" t="s">
        <v>189</v>
      </c>
      <c r="Q164" s="3">
        <v>7</v>
      </c>
      <c r="R164" s="2" t="s">
        <v>30</v>
      </c>
      <c r="S164" s="2" t="s">
        <v>31</v>
      </c>
      <c r="T164" s="2" t="str">
        <f>IF(OR(NPS_Data[[#This Row],[CreatedDateTime]]="",NPS_Data[[#This Row],[Assigned To]]="",NPS_Data[[#This Row],[Issue 2 - NPS]]="",NPS_Data[[#This Row],[Program Name]]=""),"Missing","OK")</f>
        <v>OK</v>
      </c>
      <c r="U164" s="2" t="str">
        <f>IF(
  AND(NPS_Data[[#This Row],[Status]]="Complete", OR(ISNA(NPS_Data[[#This Row],[ResolvedDateTime]]), ISBLANK(NPS_Data[[#This Row],[ResolvedDateTime]]))),
  "CompleteNoResolved",
  IF(
    AND(NPS_Data[[#This Row],[Status]]="Pending", NPS_Data[[#This Row],[Sub Status]]="Solved"),
    "PendingButSolved",
    "OK"
  )
)</f>
        <v>OK</v>
      </c>
      <c r="V16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64" s="2" t="str">
        <f>IFERROR(TRIM(CLEAN(NPS_Data[[#This Row],[Ticket All Remarks]])),"")</f>
        <v>Geographic restrictions limiting opportunities. Family commitments require staying in Tier-2 city but most opportunities in Bangalore/Hyderabad. || Resolution: Focused on remote opportunities and companies with distributed teams</v>
      </c>
      <c r="X164" s="2" cm="1">
        <f t="array" aca="1" ref="X164" ca="1">IF(NPS_Data[[#This Row],[CleanRemark]]="","",
   SUMPRODUCT(CODE(MID(NPS_Data[[#This Row],[CleanRemark]],ROW(INDIRECT("1:"&amp;LEN(NPS_Data[[#This Row],[CleanRemark]]))),1))))</f>
        <v>22209</v>
      </c>
      <c r="Y164" s="2" t="str">
        <f>IF(COUNTIF(NPS_Data[Ticket No],NPS_Data[[#This Row],[Ticket No]])&gt;1,"Duplicate","OK")</f>
        <v>OK</v>
      </c>
      <c r="Z164" s="2" t="str">
        <f ca="1">IF(NPS_Data[[#This Row],[RemarkHash]]="","OK",
   IF(COUNTIF(NPS_Data[RemarkHash],NPS_Data[[#This Row],[RemarkHash]])&gt;1,"RepeatedRemark","OK"))</f>
        <v>RepeatedRemark</v>
      </c>
      <c r="AA164" s="17">
        <f>IF( AND( ISNUMBER(NPS_Data[[#This Row],[CreatedDateTime]]), ISNUMBER(NPS_Data[[#This Row],[ResolvedDateTime]]) ), (NPS_Data[[#This Row],[ResolvedDateTime]] - NPS_Data[[#This Row],[CreatedDateTime]]) * 24, 0 )</f>
        <v>195.13000000000466</v>
      </c>
      <c r="AB164" s="65" t="str">
        <f>IF(NOT(ISNA(NPS_Data[[#This Row],[CreatedDateTime]])),
   YEAR(NPS_Data[[#This Row],[CreatedDateTime]]) &amp; "-" &amp; TEXT(WEEKNUM(NPS_Data[[#This Row],[CreatedDateTime]],2),"00"),
   "")</f>
        <v>2025-35</v>
      </c>
      <c r="AC164" s="14" t="str">
        <f>IF(NOT(ISNA(NPS_Data[[#This Row],[CreatedDateTime]])), TEXT(NPS_Data[[#This Row],[CreatedDateTime]],"YYYY-MM"), "")</f>
        <v>2025-08</v>
      </c>
      <c r="AD164" s="14" t="str">
        <f>IF(NOT(ISNUMBER(NPS_Data[[#This Row],[ResolutionHours]])),"Open", IF(NPS_Data[[#This Row],[ResolutionHours]]&gt;72,"Breach","OK"))</f>
        <v>Breach</v>
      </c>
      <c r="AE164" s="14">
        <f>IF(AND(ISNUMBER(NPS_Data[[#This Row],[CreatedDateTime]]), ISNUMBER(NPS_Data[[#This Row],[ResolvedDateTime]])), 1, 0)</f>
        <v>1</v>
      </c>
      <c r="AF164" s="48" t="str">
        <f>IF(NOT(ISNA(NPS_Data[[#This Row],[CreatedDateTime]])), TEXT(NPS_Data[[#This Row],[CreatedDateTime]],"dddd"), "")</f>
        <v>Wednesday</v>
      </c>
    </row>
    <row r="165" spans="1:32" x14ac:dyDescent="0.25">
      <c r="A165" s="2" t="s">
        <v>971</v>
      </c>
      <c r="B165" s="2" t="s">
        <v>331</v>
      </c>
      <c r="C165" s="2" t="s">
        <v>972</v>
      </c>
      <c r="D16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45919.57608796296</v>
      </c>
      <c r="H165"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65" s="2" t="s">
        <v>23</v>
      </c>
      <c r="J165" s="2" t="s">
        <v>23</v>
      </c>
      <c r="K165" s="2" t="s">
        <v>88</v>
      </c>
      <c r="L165" s="2" t="s">
        <v>973</v>
      </c>
      <c r="M165" s="2" t="s">
        <v>974</v>
      </c>
      <c r="N165" s="2" t="s">
        <v>502</v>
      </c>
      <c r="O165" s="2" t="s">
        <v>28</v>
      </c>
      <c r="P165" s="2" t="s">
        <v>242</v>
      </c>
      <c r="Q165" s="3">
        <v>1</v>
      </c>
      <c r="R165" s="2" t="s">
        <v>49</v>
      </c>
      <c r="S165" s="2" t="s">
        <v>50</v>
      </c>
      <c r="T165" s="2" t="str">
        <f>IF(OR(NPS_Data[[#This Row],[CreatedDateTime]]="",NPS_Data[[#This Row],[Assigned To]]="",NPS_Data[[#This Row],[Issue 2 - NPS]]="",NPS_Data[[#This Row],[Program Name]]=""),"Missing","OK")</f>
        <v>Missing</v>
      </c>
      <c r="U165" s="2" t="str">
        <f>IF(
  AND(NPS_Data[[#This Row],[Status]]="Complete", OR(ISNA(NPS_Data[[#This Row],[ResolvedDateTime]]), ISBLANK(NPS_Data[[#This Row],[ResolvedDateTime]]))),
  "CompleteNoResolved",
  IF(
    AND(NPS_Data[[#This Row],[Status]]="Pending", NPS_Data[[#This Row],[Sub Status]]="Solved"),
    "PendingButSolved",
    "OK"
  )
)</f>
        <v>OK</v>
      </c>
      <c r="V16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65" s="2" t="str">
        <f>IFERROR(TRIM(CLEAN(NPS_Data[[#This Row],[Ticket All Remarks]])),"")</f>
        <v>Resume highlighting DSML completion not attracting ML Engineer positions. Only getting data entry or analyst roles below skill level and salary expectations. || Resolution: Added ML portfolio projects and technical blog writing to demonstrate expertise</v>
      </c>
      <c r="X165" s="2" cm="1">
        <f t="array" aca="1" ref="X165" ca="1">IF(NPS_Data[[#This Row],[CleanRemark]]="","",
   SUMPRODUCT(CODE(MID(NPS_Data[[#This Row],[CleanRemark]],ROW(INDIRECT("1:"&amp;LEN(NPS_Data[[#This Row],[CleanRemark]]))),1))))</f>
        <v>24102</v>
      </c>
      <c r="Y165" s="2" t="str">
        <f>IF(COUNTIF(NPS_Data[Ticket No],NPS_Data[[#This Row],[Ticket No]])&gt;1,"Duplicate","OK")</f>
        <v>OK</v>
      </c>
      <c r="Z165" s="2" t="str">
        <f ca="1">IF(NPS_Data[[#This Row],[RemarkHash]]="","OK",
   IF(COUNTIF(NPS_Data[RemarkHash],NPS_Data[[#This Row],[RemarkHash]])&gt;1,"RepeatedRemark","OK"))</f>
        <v>RepeatedRemark</v>
      </c>
      <c r="AA165" s="17">
        <f>IF( AND( ISNUMBER(NPS_Data[[#This Row],[CreatedDateTime]]), ISNUMBER(NPS_Data[[#This Row],[ResolvedDateTime]]) ), (NPS_Data[[#This Row],[ResolvedDateTime]] - NPS_Data[[#This Row],[CreatedDateTime]]) * 24, 0 )</f>
        <v>0</v>
      </c>
      <c r="AB165" s="65" t="str">
        <f>IF(NOT(ISNA(NPS_Data[[#This Row],[CreatedDateTime]])),
   YEAR(NPS_Data[[#This Row],[CreatedDateTime]]) &amp; "-" &amp; TEXT(WEEKNUM(NPS_Data[[#This Row],[CreatedDateTime]],2),"00"),
   "")</f>
        <v>2025-38</v>
      </c>
      <c r="AC165" s="14" t="str">
        <f>IF(NOT(ISNA(NPS_Data[[#This Row],[CreatedDateTime]])), TEXT(NPS_Data[[#This Row],[CreatedDateTime]],"YYYY-MM"), "")</f>
        <v>2025-09</v>
      </c>
      <c r="AD165" s="14" t="str">
        <f>IF(NOT(ISNUMBER(NPS_Data[[#This Row],[ResolutionHours]])),"Open", IF(NPS_Data[[#This Row],[ResolutionHours]]&gt;72,"Breach","OK"))</f>
        <v>OK</v>
      </c>
      <c r="AE165" s="14">
        <f>IF(AND(ISNUMBER(NPS_Data[[#This Row],[CreatedDateTime]]), ISNUMBER(NPS_Data[[#This Row],[ResolvedDateTime]])), 1, 0)</f>
        <v>0</v>
      </c>
      <c r="AF165" s="48" t="str">
        <f>IF(NOT(ISNA(NPS_Data[[#This Row],[CreatedDateTime]])), TEXT(NPS_Data[[#This Row],[CreatedDateTime]],"dddd"), "")</f>
        <v>Friday</v>
      </c>
    </row>
    <row r="166" spans="1:32" x14ac:dyDescent="0.25">
      <c r="A166" s="2" t="s">
        <v>975</v>
      </c>
      <c r="B166" s="2" t="s">
        <v>85</v>
      </c>
      <c r="C166" s="2" t="s">
        <v>976</v>
      </c>
      <c r="D16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45897.557581018518</v>
      </c>
      <c r="E166" s="2" t="s">
        <v>20</v>
      </c>
      <c r="F166" s="2" t="s">
        <v>209</v>
      </c>
      <c r="G166" s="2" t="s">
        <v>977</v>
      </c>
      <c r="H166"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45908.513831018521</v>
      </c>
      <c r="I166" s="2" t="s">
        <v>23</v>
      </c>
      <c r="J166" s="2" t="s">
        <v>23</v>
      </c>
      <c r="K166" s="2" t="s">
        <v>38</v>
      </c>
      <c r="L166" s="2" t="s">
        <v>978</v>
      </c>
      <c r="M166" s="2" t="s">
        <v>979</v>
      </c>
      <c r="N166" s="2" t="s">
        <v>297</v>
      </c>
      <c r="O166" s="2" t="s">
        <v>28</v>
      </c>
      <c r="P166" s="2" t="s">
        <v>285</v>
      </c>
      <c r="Q166" s="3">
        <v>7</v>
      </c>
      <c r="R166" s="2" t="s">
        <v>30</v>
      </c>
      <c r="S166" s="2" t="s">
        <v>31</v>
      </c>
      <c r="T166" s="2" t="str">
        <f>IF(OR(NPS_Data[[#This Row],[CreatedDateTime]]="",NPS_Data[[#This Row],[Assigned To]]="",NPS_Data[[#This Row],[Issue 2 - NPS]]="",NPS_Data[[#This Row],[Program Name]]=""),"Missing","OK")</f>
        <v>OK</v>
      </c>
      <c r="U166" s="2" t="str">
        <f>IF(
  AND(NPS_Data[[#This Row],[Status]]="Complete", OR(ISNA(NPS_Data[[#This Row],[ResolvedDateTime]]), ISBLANK(NPS_Data[[#This Row],[ResolvedDateTime]]))),
  "CompleteNoResolved",
  IF(
    AND(NPS_Data[[#This Row],[Status]]="Pending", NPS_Data[[#This Row],[Sub Status]]="Solved"),
    "PendingButSolved",
    "OK"
  )
)</f>
        <v>OK</v>
      </c>
      <c r="V16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66" s="2" t="str">
        <f>IFERROR(TRIM(CLEAN(NPS_Data[[#This Row],[Ticket All Remarks]])),"")</f>
        <v>No downloadable notes provided for complex topics. Difficult to review mathematical formulas and algorithms without written reference material. || Resolution: Created comprehensive downloadable study guides for all modules</v>
      </c>
      <c r="X166" s="2" cm="1">
        <f t="array" aca="1" ref="X166" ca="1">IF(NPS_Data[[#This Row],[CleanRemark]]="","",
   SUMPRODUCT(CODE(MID(NPS_Data[[#This Row],[CleanRemark]],ROW(INDIRECT("1:"&amp;LEN(NPS_Data[[#This Row],[CleanRemark]]))),1))))</f>
        <v>21599</v>
      </c>
      <c r="Y166" s="2" t="str">
        <f>IF(COUNTIF(NPS_Data[Ticket No],NPS_Data[[#This Row],[Ticket No]])&gt;1,"Duplicate","OK")</f>
        <v>OK</v>
      </c>
      <c r="Z166" s="2" t="str">
        <f ca="1">IF(NPS_Data[[#This Row],[RemarkHash]]="","OK",
   IF(COUNTIF(NPS_Data[RemarkHash],NPS_Data[[#This Row],[RemarkHash]])&gt;1,"RepeatedRemark","OK"))</f>
        <v>RepeatedRemark</v>
      </c>
      <c r="AA166" s="17">
        <f>IF( AND( ISNUMBER(NPS_Data[[#This Row],[CreatedDateTime]]), ISNUMBER(NPS_Data[[#This Row],[ResolvedDateTime]]) ), (NPS_Data[[#This Row],[ResolvedDateTime]] - NPS_Data[[#This Row],[CreatedDateTime]]) * 24, 0 )</f>
        <v>262.95000000006985</v>
      </c>
      <c r="AB166" s="65" t="str">
        <f>IF(NOT(ISNA(NPS_Data[[#This Row],[CreatedDateTime]])),
   YEAR(NPS_Data[[#This Row],[CreatedDateTime]]) &amp; "-" &amp; TEXT(WEEKNUM(NPS_Data[[#This Row],[CreatedDateTime]],2),"00"),
   "")</f>
        <v>2025-35</v>
      </c>
      <c r="AC166" s="14" t="str">
        <f>IF(NOT(ISNA(NPS_Data[[#This Row],[CreatedDateTime]])), TEXT(NPS_Data[[#This Row],[CreatedDateTime]],"YYYY-MM"), "")</f>
        <v>2025-08</v>
      </c>
      <c r="AD166" s="14" t="str">
        <f>IF(NOT(ISNUMBER(NPS_Data[[#This Row],[ResolutionHours]])),"Open", IF(NPS_Data[[#This Row],[ResolutionHours]]&gt;72,"Breach","OK"))</f>
        <v>Breach</v>
      </c>
      <c r="AE166" s="14">
        <f>IF(AND(ISNUMBER(NPS_Data[[#This Row],[CreatedDateTime]]), ISNUMBER(NPS_Data[[#This Row],[ResolvedDateTime]])), 1, 0)</f>
        <v>1</v>
      </c>
      <c r="AF166" s="48" t="str">
        <f>IF(NOT(ISNA(NPS_Data[[#This Row],[CreatedDateTime]])), TEXT(NPS_Data[[#This Row],[CreatedDateTime]],"dddd"), "")</f>
        <v>Thursday</v>
      </c>
    </row>
    <row r="167" spans="1:32" x14ac:dyDescent="0.25">
      <c r="A167" s="2" t="s">
        <v>980</v>
      </c>
      <c r="B167" s="2" t="s">
        <v>288</v>
      </c>
      <c r="C167" s="2" t="s">
        <v>981</v>
      </c>
      <c r="D16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45907.536261574074</v>
      </c>
      <c r="E167" s="2" t="s">
        <v>71</v>
      </c>
      <c r="F167" s="2" t="s">
        <v>331</v>
      </c>
      <c r="G167" s="2" t="s">
        <v>982</v>
      </c>
      <c r="H167"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45919.778090277781</v>
      </c>
      <c r="I167" s="2" t="s">
        <v>23</v>
      </c>
      <c r="J167" s="2" t="s">
        <v>23</v>
      </c>
      <c r="K167" s="2" t="s">
        <v>38</v>
      </c>
      <c r="L167" s="2" t="s">
        <v>983</v>
      </c>
      <c r="M167" s="2" t="s">
        <v>984</v>
      </c>
      <c r="N167" s="2" t="s">
        <v>297</v>
      </c>
      <c r="O167" s="2" t="s">
        <v>177</v>
      </c>
      <c r="P167" s="2" t="s">
        <v>285</v>
      </c>
      <c r="Q167" s="3">
        <v>2</v>
      </c>
      <c r="R167" s="2" t="s">
        <v>30</v>
      </c>
      <c r="S167" s="2" t="s">
        <v>31</v>
      </c>
      <c r="T167" s="2" t="str">
        <f>IF(OR(NPS_Data[[#This Row],[CreatedDateTime]]="",NPS_Data[[#This Row],[Assigned To]]="",NPS_Data[[#This Row],[Issue 2 - NPS]]="",NPS_Data[[#This Row],[Program Name]]=""),"Missing","OK")</f>
        <v>OK</v>
      </c>
      <c r="U167" s="2" t="str">
        <f>IF(
  AND(NPS_Data[[#This Row],[Status]]="Complete", OR(ISNA(NPS_Data[[#This Row],[ResolvedDateTime]]), ISBLANK(NPS_Data[[#This Row],[ResolvedDateTime]]))),
  "CompleteNoResolved",
  IF(
    AND(NPS_Data[[#This Row],[Status]]="Pending", NPS_Data[[#This Row],[Sub Status]]="Solved"),
    "PendingButSolved",
    "OK"
  )
)</f>
        <v>OK</v>
      </c>
      <c r="V16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67" s="2" t="str">
        <f>IFERROR(TRIM(CLEAN(NPS_Data[[#This Row],[Ticket All Remarks]])),"")</f>
        <v>No downloadable notes provided for complex topics. Difficult to review mathematical formulas and algorithms without written reference material. || Resolution: Created comprehensive downloadable study guides for all modules</v>
      </c>
      <c r="X167" s="2" cm="1">
        <f t="array" aca="1" ref="X167" ca="1">IF(NPS_Data[[#This Row],[CleanRemark]]="","",
   SUMPRODUCT(CODE(MID(NPS_Data[[#This Row],[CleanRemark]],ROW(INDIRECT("1:"&amp;LEN(NPS_Data[[#This Row],[CleanRemark]]))),1))))</f>
        <v>21599</v>
      </c>
      <c r="Y167" s="2" t="str">
        <f>IF(COUNTIF(NPS_Data[Ticket No],NPS_Data[[#This Row],[Ticket No]])&gt;1,"Duplicate","OK")</f>
        <v>OK</v>
      </c>
      <c r="Z167" s="2" t="str">
        <f ca="1">IF(NPS_Data[[#This Row],[RemarkHash]]="","OK",
   IF(COUNTIF(NPS_Data[RemarkHash],NPS_Data[[#This Row],[RemarkHash]])&gt;1,"RepeatedRemark","OK"))</f>
        <v>RepeatedRemark</v>
      </c>
      <c r="AA167" s="17">
        <f>IF( AND( ISNUMBER(NPS_Data[[#This Row],[CreatedDateTime]]), ISNUMBER(NPS_Data[[#This Row],[ResolvedDateTime]]) ), (NPS_Data[[#This Row],[ResolvedDateTime]] - NPS_Data[[#This Row],[CreatedDateTime]]) * 24, 0 )</f>
        <v>293.80388888897141</v>
      </c>
      <c r="AB167" s="65" t="str">
        <f>IF(NOT(ISNA(NPS_Data[[#This Row],[CreatedDateTime]])),
   YEAR(NPS_Data[[#This Row],[CreatedDateTime]]) &amp; "-" &amp; TEXT(WEEKNUM(NPS_Data[[#This Row],[CreatedDateTime]],2),"00"),
   "")</f>
        <v>2025-36</v>
      </c>
      <c r="AC167" s="14" t="str">
        <f>IF(NOT(ISNA(NPS_Data[[#This Row],[CreatedDateTime]])), TEXT(NPS_Data[[#This Row],[CreatedDateTime]],"YYYY-MM"), "")</f>
        <v>2025-09</v>
      </c>
      <c r="AD167" s="14" t="str">
        <f>IF(NOT(ISNUMBER(NPS_Data[[#This Row],[ResolutionHours]])),"Open", IF(NPS_Data[[#This Row],[ResolutionHours]]&gt;72,"Breach","OK"))</f>
        <v>Breach</v>
      </c>
      <c r="AE167" s="14">
        <f>IF(AND(ISNUMBER(NPS_Data[[#This Row],[CreatedDateTime]]), ISNUMBER(NPS_Data[[#This Row],[ResolvedDateTime]])), 1, 0)</f>
        <v>1</v>
      </c>
      <c r="AF167" s="48" t="str">
        <f>IF(NOT(ISNA(NPS_Data[[#This Row],[CreatedDateTime]])), TEXT(NPS_Data[[#This Row],[CreatedDateTime]],"dddd"), "")</f>
        <v>Sunday</v>
      </c>
    </row>
    <row r="168" spans="1:32" x14ac:dyDescent="0.25">
      <c r="A168" s="2" t="s">
        <v>985</v>
      </c>
      <c r="B168" s="2" t="s">
        <v>299</v>
      </c>
      <c r="C168" s="2" t="s">
        <v>986</v>
      </c>
      <c r="D16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45890.748414351852</v>
      </c>
      <c r="H168"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68" s="2" t="s">
        <v>23</v>
      </c>
      <c r="J168" s="2" t="s">
        <v>23</v>
      </c>
      <c r="K168" s="2" t="s">
        <v>88</v>
      </c>
      <c r="L168" s="2" t="s">
        <v>987</v>
      </c>
      <c r="M168" s="2" t="s">
        <v>988</v>
      </c>
      <c r="N168" s="2" t="s">
        <v>744</v>
      </c>
      <c r="O168" s="2" t="s">
        <v>48</v>
      </c>
      <c r="P168" s="2" t="s">
        <v>92</v>
      </c>
      <c r="Q168" s="3">
        <v>3</v>
      </c>
      <c r="R168" s="2" t="s">
        <v>49</v>
      </c>
      <c r="S168" s="2" t="s">
        <v>116</v>
      </c>
      <c r="T168" s="2" t="str">
        <f>IF(OR(NPS_Data[[#This Row],[CreatedDateTime]]="",NPS_Data[[#This Row],[Assigned To]]="",NPS_Data[[#This Row],[Issue 2 - NPS]]="",NPS_Data[[#This Row],[Program Name]]=""),"Missing","OK")</f>
        <v>Missing</v>
      </c>
      <c r="U168" s="2" t="str">
        <f>IF(
  AND(NPS_Data[[#This Row],[Status]]="Complete", OR(ISNA(NPS_Data[[#This Row],[ResolvedDateTime]]), ISBLANK(NPS_Data[[#This Row],[ResolvedDateTime]]))),
  "CompleteNoResolved",
  IF(
    AND(NPS_Data[[#This Row],[Status]]="Pending", NPS_Data[[#This Row],[Sub Status]]="Solved"),
    "PendingButSolved",
    "OK"
  )
)</f>
        <v>OK</v>
      </c>
      <c r="V16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68" s="2" t="str">
        <f>IFERROR(TRIM(CLEAN(NPS_Data[[#This Row],[Ticket All Remarks]])),"")</f>
        <v>Considering freelancing transition after 8 years in corporate. Need guidance on building client base, pricing projects, and managing business aspects. || Resolution: Introduced to successful freelancer mentor and provided business setup guidance</v>
      </c>
      <c r="X168" s="2" cm="1">
        <f t="array" aca="1" ref="X168" ca="1">IF(NPS_Data[[#This Row],[CleanRemark]]="","",
   SUMPRODUCT(CODE(MID(NPS_Data[[#This Row],[CleanRemark]],ROW(INDIRECT("1:"&amp;LEN(NPS_Data[[#This Row],[CleanRemark]]))),1))))</f>
        <v>23492</v>
      </c>
      <c r="Y168" s="2" t="str">
        <f>IF(COUNTIF(NPS_Data[Ticket No],NPS_Data[[#This Row],[Ticket No]])&gt;1,"Duplicate","OK")</f>
        <v>OK</v>
      </c>
      <c r="Z168" s="2" t="str">
        <f ca="1">IF(NPS_Data[[#This Row],[RemarkHash]]="","OK",
   IF(COUNTIF(NPS_Data[RemarkHash],NPS_Data[[#This Row],[RemarkHash]])&gt;1,"RepeatedRemark","OK"))</f>
        <v>RepeatedRemark</v>
      </c>
      <c r="AA168" s="17">
        <f>IF( AND( ISNUMBER(NPS_Data[[#This Row],[CreatedDateTime]]), ISNUMBER(NPS_Data[[#This Row],[ResolvedDateTime]]) ), (NPS_Data[[#This Row],[ResolvedDateTime]] - NPS_Data[[#This Row],[CreatedDateTime]]) * 24, 0 )</f>
        <v>0</v>
      </c>
      <c r="AB168" s="65" t="str">
        <f>IF(NOT(ISNA(NPS_Data[[#This Row],[CreatedDateTime]])),
   YEAR(NPS_Data[[#This Row],[CreatedDateTime]]) &amp; "-" &amp; TEXT(WEEKNUM(NPS_Data[[#This Row],[CreatedDateTime]],2),"00"),
   "")</f>
        <v>2025-34</v>
      </c>
      <c r="AC168" s="14" t="str">
        <f>IF(NOT(ISNA(NPS_Data[[#This Row],[CreatedDateTime]])), TEXT(NPS_Data[[#This Row],[CreatedDateTime]],"YYYY-MM"), "")</f>
        <v>2025-08</v>
      </c>
      <c r="AD168" s="14" t="str">
        <f>IF(NOT(ISNUMBER(NPS_Data[[#This Row],[ResolutionHours]])),"Open", IF(NPS_Data[[#This Row],[ResolutionHours]]&gt;72,"Breach","OK"))</f>
        <v>OK</v>
      </c>
      <c r="AE168" s="14">
        <f>IF(AND(ISNUMBER(NPS_Data[[#This Row],[CreatedDateTime]]), ISNUMBER(NPS_Data[[#This Row],[ResolvedDateTime]])), 1, 0)</f>
        <v>0</v>
      </c>
      <c r="AF168" s="48" t="str">
        <f>IF(NOT(ISNA(NPS_Data[[#This Row],[CreatedDateTime]])), TEXT(NPS_Data[[#This Row],[CreatedDateTime]],"dddd"), "")</f>
        <v>Thursday</v>
      </c>
    </row>
    <row r="169" spans="1:32" x14ac:dyDescent="0.25">
      <c r="A169" s="2" t="s">
        <v>989</v>
      </c>
      <c r="B169" s="2" t="s">
        <v>127</v>
      </c>
      <c r="C169" s="2" t="s">
        <v>990</v>
      </c>
      <c r="D16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45878.673333333332</v>
      </c>
      <c r="E169" s="2" t="s">
        <v>44</v>
      </c>
      <c r="F169" s="2" t="s">
        <v>596</v>
      </c>
      <c r="G169" s="2" t="s">
        <v>991</v>
      </c>
      <c r="H169"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45881.50677083333</v>
      </c>
      <c r="I169" s="2" t="s">
        <v>23</v>
      </c>
      <c r="J169" s="2" t="s">
        <v>23</v>
      </c>
      <c r="K169" s="2" t="s">
        <v>88</v>
      </c>
      <c r="L169" s="2" t="s">
        <v>992</v>
      </c>
      <c r="M169" s="2" t="s">
        <v>993</v>
      </c>
      <c r="N169" s="2" t="s">
        <v>67</v>
      </c>
      <c r="O169" s="2" t="s">
        <v>48</v>
      </c>
      <c r="P169" s="2" t="s">
        <v>68</v>
      </c>
      <c r="Q169" s="3">
        <v>1</v>
      </c>
      <c r="R169" s="2" t="s">
        <v>30</v>
      </c>
      <c r="S169" s="2" t="s">
        <v>31</v>
      </c>
      <c r="T169" s="2" t="str">
        <f>IF(OR(NPS_Data[[#This Row],[CreatedDateTime]]="",NPS_Data[[#This Row],[Assigned To]]="",NPS_Data[[#This Row],[Issue 2 - NPS]]="",NPS_Data[[#This Row],[Program Name]]=""),"Missing","OK")</f>
        <v>OK</v>
      </c>
      <c r="U169" s="2" t="str">
        <f>IF(
  AND(NPS_Data[[#This Row],[Status]]="Complete", OR(ISNA(NPS_Data[[#This Row],[ResolvedDateTime]]), ISBLANK(NPS_Data[[#This Row],[ResolvedDateTime]]))),
  "CompleteNoResolved",
  IF(
    AND(NPS_Data[[#This Row],[Status]]="Pending", NPS_Data[[#This Row],[Sub Status]]="Solved"),
    "PendingButSolved",
    "OK"
  )
)</f>
        <v>OK</v>
      </c>
      <c r="V16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69" s="2" t="str">
        <f>IFERROR(TRIM(CLEAN(NPS_Data[[#This Row],[Ticket All Remarks]])),"")</f>
        <v>Told course would take 6 months but curriculum actually requires 10+ months for completion. Time commitment significantly underestimated. || Resolution: Updated course duration estimates and provided realistic timeline planning</v>
      </c>
      <c r="X169" s="2" cm="1">
        <f t="array" aca="1" ref="X169" ca="1">IF(NPS_Data[[#This Row],[CleanRemark]]="","",
   SUMPRODUCT(CODE(MID(NPS_Data[[#This Row],[CleanRemark]],ROW(INDIRECT("1:"&amp;LEN(NPS_Data[[#This Row],[CleanRemark]]))),1))))</f>
        <v>21945</v>
      </c>
      <c r="Y169" s="2" t="str">
        <f>IF(COUNTIF(NPS_Data[Ticket No],NPS_Data[[#This Row],[Ticket No]])&gt;1,"Duplicate","OK")</f>
        <v>OK</v>
      </c>
      <c r="Z169" s="2" t="str">
        <f ca="1">IF(NPS_Data[[#This Row],[RemarkHash]]="","OK",
   IF(COUNTIF(NPS_Data[RemarkHash],NPS_Data[[#This Row],[RemarkHash]])&gt;1,"RepeatedRemark","OK"))</f>
        <v>RepeatedRemark</v>
      </c>
      <c r="AA169" s="17">
        <f>IF( AND( ISNUMBER(NPS_Data[[#This Row],[CreatedDateTime]]), ISNUMBER(NPS_Data[[#This Row],[ResolvedDateTime]]) ), (NPS_Data[[#This Row],[ResolvedDateTime]] - NPS_Data[[#This Row],[CreatedDateTime]]) * 24, 0 )</f>
        <v>68.002499999944121</v>
      </c>
      <c r="AB169" s="65" t="str">
        <f>IF(NOT(ISNA(NPS_Data[[#This Row],[CreatedDateTime]])),
   YEAR(NPS_Data[[#This Row],[CreatedDateTime]]) &amp; "-" &amp; TEXT(WEEKNUM(NPS_Data[[#This Row],[CreatedDateTime]],2),"00"),
   "")</f>
        <v>2025-32</v>
      </c>
      <c r="AC169" s="14" t="str">
        <f>IF(NOT(ISNA(NPS_Data[[#This Row],[CreatedDateTime]])), TEXT(NPS_Data[[#This Row],[CreatedDateTime]],"YYYY-MM"), "")</f>
        <v>2025-08</v>
      </c>
      <c r="AD169" s="14" t="str">
        <f>IF(NOT(ISNUMBER(NPS_Data[[#This Row],[ResolutionHours]])),"Open", IF(NPS_Data[[#This Row],[ResolutionHours]]&gt;72,"Breach","OK"))</f>
        <v>OK</v>
      </c>
      <c r="AE169" s="14">
        <f>IF(AND(ISNUMBER(NPS_Data[[#This Row],[CreatedDateTime]]), ISNUMBER(NPS_Data[[#This Row],[ResolvedDateTime]])), 1, 0)</f>
        <v>1</v>
      </c>
      <c r="AF169" s="48" t="str">
        <f>IF(NOT(ISNA(NPS_Data[[#This Row],[CreatedDateTime]])), TEXT(NPS_Data[[#This Row],[CreatedDateTime]],"dddd"), "")</f>
        <v>Saturday</v>
      </c>
    </row>
    <row r="170" spans="1:32" x14ac:dyDescent="0.25">
      <c r="A170" s="2" t="s">
        <v>994</v>
      </c>
      <c r="B170" s="2" t="s">
        <v>372</v>
      </c>
      <c r="C170" s="2" t="s">
        <v>995</v>
      </c>
      <c r="D17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45920.688425925924</v>
      </c>
      <c r="E170" s="2" t="s">
        <v>113</v>
      </c>
      <c r="H170"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70" s="2" t="s">
        <v>23</v>
      </c>
      <c r="J170" s="2" t="s">
        <v>23</v>
      </c>
      <c r="K170" s="2" t="s">
        <v>24</v>
      </c>
      <c r="L170" s="2" t="s">
        <v>996</v>
      </c>
      <c r="M170" s="2" t="s">
        <v>997</v>
      </c>
      <c r="N170" s="2" t="s">
        <v>998</v>
      </c>
      <c r="O170" s="2" t="s">
        <v>41</v>
      </c>
      <c r="P170" s="2" t="s">
        <v>29</v>
      </c>
      <c r="Q170" s="3">
        <v>3</v>
      </c>
      <c r="R170" s="2" t="s">
        <v>49</v>
      </c>
      <c r="S170" s="2" t="s">
        <v>133</v>
      </c>
      <c r="T170" s="2" t="str">
        <f>IF(OR(NPS_Data[[#This Row],[CreatedDateTime]]="",NPS_Data[[#This Row],[Assigned To]]="",NPS_Data[[#This Row],[Issue 2 - NPS]]="",NPS_Data[[#This Row],[Program Name]]=""),"Missing","OK")</f>
        <v>OK</v>
      </c>
      <c r="U170" s="2" t="str">
        <f>IF(
  AND(NPS_Data[[#This Row],[Status]]="Complete", OR(ISNA(NPS_Data[[#This Row],[ResolvedDateTime]]), ISBLANK(NPS_Data[[#This Row],[ResolvedDateTime]]))),
  "CompleteNoResolved",
  IF(
    AND(NPS_Data[[#This Row],[Status]]="Pending", NPS_Data[[#This Row],[Sub Status]]="Solved"),
    "PendingButSolved",
    "OK"
  )
)</f>
        <v>OK</v>
      </c>
      <c r="V17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70" s="2" t="str">
        <f>IFERROR(TRIM(CLEAN(NPS_Data[[#This Row],[Ticket All Remarks]])),"")</f>
        <v>Assignment instructions assume prior knowledge not covered in lectures. Database project requires PostgreSQL when only MySQL was taught in class. || Resolution: Added prerequisite tutorials and Azure setup guides</v>
      </c>
      <c r="X170" s="2" cm="1">
        <f t="array" aca="1" ref="X170" ca="1">IF(NPS_Data[[#This Row],[CleanRemark]]="","",
   SUMPRODUCT(CODE(MID(NPS_Data[[#This Row],[CleanRemark]],ROW(INDIRECT("1:"&amp;LEN(NPS_Data[[#This Row],[CleanRemark]]))),1))))</f>
        <v>20359</v>
      </c>
      <c r="Y170" s="2" t="str">
        <f>IF(COUNTIF(NPS_Data[Ticket No],NPS_Data[[#This Row],[Ticket No]])&gt;1,"Duplicate","OK")</f>
        <v>OK</v>
      </c>
      <c r="Z170" s="2" t="str">
        <f ca="1">IF(NPS_Data[[#This Row],[RemarkHash]]="","OK",
   IF(COUNTIF(NPS_Data[RemarkHash],NPS_Data[[#This Row],[RemarkHash]])&gt;1,"RepeatedRemark","OK"))</f>
        <v>RepeatedRemark</v>
      </c>
      <c r="AA170" s="17">
        <f>IF( AND( ISNUMBER(NPS_Data[[#This Row],[CreatedDateTime]]), ISNUMBER(NPS_Data[[#This Row],[ResolvedDateTime]]) ), (NPS_Data[[#This Row],[ResolvedDateTime]] - NPS_Data[[#This Row],[CreatedDateTime]]) * 24, 0 )</f>
        <v>0</v>
      </c>
      <c r="AB170" s="65" t="str">
        <f>IF(NOT(ISNA(NPS_Data[[#This Row],[CreatedDateTime]])),
   YEAR(NPS_Data[[#This Row],[CreatedDateTime]]) &amp; "-" &amp; TEXT(WEEKNUM(NPS_Data[[#This Row],[CreatedDateTime]],2),"00"),
   "")</f>
        <v>2025-38</v>
      </c>
      <c r="AC170" s="14" t="str">
        <f>IF(NOT(ISNA(NPS_Data[[#This Row],[CreatedDateTime]])), TEXT(NPS_Data[[#This Row],[CreatedDateTime]],"YYYY-MM"), "")</f>
        <v>2025-09</v>
      </c>
      <c r="AD170" s="14" t="str">
        <f>IF(NOT(ISNUMBER(NPS_Data[[#This Row],[ResolutionHours]])),"Open", IF(NPS_Data[[#This Row],[ResolutionHours]]&gt;72,"Breach","OK"))</f>
        <v>OK</v>
      </c>
      <c r="AE170" s="14">
        <f>IF(AND(ISNUMBER(NPS_Data[[#This Row],[CreatedDateTime]]), ISNUMBER(NPS_Data[[#This Row],[ResolvedDateTime]])), 1, 0)</f>
        <v>0</v>
      </c>
      <c r="AF170" s="48" t="str">
        <f>IF(NOT(ISNA(NPS_Data[[#This Row],[CreatedDateTime]])), TEXT(NPS_Data[[#This Row],[CreatedDateTime]],"dddd"), "")</f>
        <v>Saturday</v>
      </c>
    </row>
    <row r="171" spans="1:32" x14ac:dyDescent="0.25">
      <c r="A171" s="2" t="s">
        <v>999</v>
      </c>
      <c r="B171" s="2" t="s">
        <v>197</v>
      </c>
      <c r="C171" s="2" t="s">
        <v>1000</v>
      </c>
      <c r="D17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45914.678703703707</v>
      </c>
      <c r="E171" s="2" t="s">
        <v>44</v>
      </c>
      <c r="F171" s="2" t="s">
        <v>54</v>
      </c>
      <c r="G171" s="2" t="s">
        <v>1001</v>
      </c>
      <c r="H171"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45916.725844907407</v>
      </c>
      <c r="I171" s="2" t="s">
        <v>23</v>
      </c>
      <c r="J171" s="2" t="s">
        <v>23</v>
      </c>
      <c r="K171" s="2" t="s">
        <v>38</v>
      </c>
      <c r="L171" s="2" t="s">
        <v>1002</v>
      </c>
      <c r="M171" s="2" t="s">
        <v>1003</v>
      </c>
      <c r="N171" s="2" t="s">
        <v>297</v>
      </c>
      <c r="O171" s="2" t="s">
        <v>41</v>
      </c>
      <c r="P171" s="2" t="s">
        <v>285</v>
      </c>
      <c r="Q171" s="3">
        <v>6</v>
      </c>
      <c r="R171" s="2" t="s">
        <v>30</v>
      </c>
      <c r="S171" s="2" t="s">
        <v>31</v>
      </c>
      <c r="T171" s="2" t="str">
        <f>IF(OR(NPS_Data[[#This Row],[CreatedDateTime]]="",NPS_Data[[#This Row],[Assigned To]]="",NPS_Data[[#This Row],[Issue 2 - NPS]]="",NPS_Data[[#This Row],[Program Name]]=""),"Missing","OK")</f>
        <v>OK</v>
      </c>
      <c r="U171" s="2" t="str">
        <f>IF(
  AND(NPS_Data[[#This Row],[Status]]="Complete", OR(ISNA(NPS_Data[[#This Row],[ResolvedDateTime]]), ISBLANK(NPS_Data[[#This Row],[ResolvedDateTime]]))),
  "CompleteNoResolved",
  IF(
    AND(NPS_Data[[#This Row],[Status]]="Pending", NPS_Data[[#This Row],[Sub Status]]="Solved"),
    "PendingButSolved",
    "OK"
  )
)</f>
        <v>OK</v>
      </c>
      <c r="V17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71" s="2" t="str">
        <f>IFERROR(TRIM(CLEAN(NPS_Data[[#This Row],[Ticket All Remarks]])),"")</f>
        <v>No downloadable notes provided for complex topics. Difficult to review mathematical formulas and algorithms without written reference material. || Resolution: Created comprehensive downloadable study guides for all modules</v>
      </c>
      <c r="X171" s="2" cm="1">
        <f t="array" aca="1" ref="X171" ca="1">IF(NPS_Data[[#This Row],[CleanRemark]]="","",
   SUMPRODUCT(CODE(MID(NPS_Data[[#This Row],[CleanRemark]],ROW(INDIRECT("1:"&amp;LEN(NPS_Data[[#This Row],[CleanRemark]]))),1))))</f>
        <v>21599</v>
      </c>
      <c r="Y171" s="2" t="str">
        <f>IF(COUNTIF(NPS_Data[Ticket No],NPS_Data[[#This Row],[Ticket No]])&gt;1,"Duplicate","OK")</f>
        <v>OK</v>
      </c>
      <c r="Z171" s="2" t="str">
        <f ca="1">IF(NPS_Data[[#This Row],[RemarkHash]]="","OK",
   IF(COUNTIF(NPS_Data[RemarkHash],NPS_Data[[#This Row],[RemarkHash]])&gt;1,"RepeatedRemark","OK"))</f>
        <v>RepeatedRemark</v>
      </c>
      <c r="AA171" s="17">
        <f>IF( AND( ISNUMBER(NPS_Data[[#This Row],[CreatedDateTime]]), ISNUMBER(NPS_Data[[#This Row],[ResolvedDateTime]]) ), (NPS_Data[[#This Row],[ResolvedDateTime]] - NPS_Data[[#This Row],[CreatedDateTime]]) * 24, 0 )</f>
        <v>49.131388888810761</v>
      </c>
      <c r="AB171" s="65" t="str">
        <f>IF(NOT(ISNA(NPS_Data[[#This Row],[CreatedDateTime]])),
   YEAR(NPS_Data[[#This Row],[CreatedDateTime]]) &amp; "-" &amp; TEXT(WEEKNUM(NPS_Data[[#This Row],[CreatedDateTime]],2),"00"),
   "")</f>
        <v>2025-37</v>
      </c>
      <c r="AC171" s="14" t="str">
        <f>IF(NOT(ISNA(NPS_Data[[#This Row],[CreatedDateTime]])), TEXT(NPS_Data[[#This Row],[CreatedDateTime]],"YYYY-MM"), "")</f>
        <v>2025-09</v>
      </c>
      <c r="AD171" s="14" t="str">
        <f>IF(NOT(ISNUMBER(NPS_Data[[#This Row],[ResolutionHours]])),"Open", IF(NPS_Data[[#This Row],[ResolutionHours]]&gt;72,"Breach","OK"))</f>
        <v>OK</v>
      </c>
      <c r="AE171" s="14">
        <f>IF(AND(ISNUMBER(NPS_Data[[#This Row],[CreatedDateTime]]), ISNUMBER(NPS_Data[[#This Row],[ResolvedDateTime]])), 1, 0)</f>
        <v>1</v>
      </c>
      <c r="AF171" s="48" t="str">
        <f>IF(NOT(ISNA(NPS_Data[[#This Row],[CreatedDateTime]])), TEXT(NPS_Data[[#This Row],[CreatedDateTime]],"dddd"), "")</f>
        <v>Sunday</v>
      </c>
    </row>
    <row r="172" spans="1:32" x14ac:dyDescent="0.25">
      <c r="A172" s="2" t="s">
        <v>1004</v>
      </c>
      <c r="B172" s="2" t="s">
        <v>52</v>
      </c>
      <c r="C172" s="2" t="s">
        <v>1005</v>
      </c>
      <c r="D17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45913.380543981482</v>
      </c>
      <c r="E172" s="2" t="s">
        <v>219</v>
      </c>
      <c r="H172"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72" s="2" t="s">
        <v>23</v>
      </c>
      <c r="J172" s="2" t="s">
        <v>23</v>
      </c>
      <c r="K172" s="2" t="s">
        <v>88</v>
      </c>
      <c r="L172" s="2" t="s">
        <v>1006</v>
      </c>
      <c r="M172" s="2" t="s">
        <v>1007</v>
      </c>
      <c r="N172" s="2" t="s">
        <v>1008</v>
      </c>
      <c r="O172" s="2" t="s">
        <v>28</v>
      </c>
      <c r="P172" s="2" t="s">
        <v>189</v>
      </c>
      <c r="Q172" s="3">
        <v>4</v>
      </c>
      <c r="R172" s="2" t="s">
        <v>49</v>
      </c>
      <c r="S172" s="2" t="s">
        <v>133</v>
      </c>
      <c r="T172" s="2" t="str">
        <f>IF(OR(NPS_Data[[#This Row],[CreatedDateTime]]="",NPS_Data[[#This Row],[Assigned To]]="",NPS_Data[[#This Row],[Issue 2 - NPS]]="",NPS_Data[[#This Row],[Program Name]]=""),"Missing","OK")</f>
        <v>OK</v>
      </c>
      <c r="U172" s="2" t="str">
        <f>IF(
  AND(NPS_Data[[#This Row],[Status]]="Complete", OR(ISNA(NPS_Data[[#This Row],[ResolvedDateTime]]), ISBLANK(NPS_Data[[#This Row],[ResolvedDateTime]]))),
  "CompleteNoResolved",
  IF(
    AND(NPS_Data[[#This Row],[Status]]="Pending", NPS_Data[[#This Row],[Sub Status]]="Solved"),
    "PendingButSolved",
    "OK"
  )
)</f>
        <v>OK</v>
      </c>
      <c r="V17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72" s="2" t="str">
        <f>IFERROR(TRIM(CLEAN(NPS_Data[[#This Row],[Ticket All Remarks]])),"")</f>
        <v>Clearing technical rounds but failing in cultural fit assessments. Companies say not aligned with startup pace or collaborative work style. || Resolution: Added soft skills training and Swiggy culture preparation sessions</v>
      </c>
      <c r="X172" s="2" cm="1">
        <f t="array" aca="1" ref="X172" ca="1">IF(NPS_Data[[#This Row],[CleanRemark]]="","",
   SUMPRODUCT(CODE(MID(NPS_Data[[#This Row],[CleanRemark]],ROW(INDIRECT("1:"&amp;LEN(NPS_Data[[#This Row],[CleanRemark]]))),1))))</f>
        <v>21327</v>
      </c>
      <c r="Y172" s="2" t="str">
        <f>IF(COUNTIF(NPS_Data[Ticket No],NPS_Data[[#This Row],[Ticket No]])&gt;1,"Duplicate","OK")</f>
        <v>OK</v>
      </c>
      <c r="Z172" s="2" t="str">
        <f ca="1">IF(NPS_Data[[#This Row],[RemarkHash]]="","OK",
   IF(COUNTIF(NPS_Data[RemarkHash],NPS_Data[[#This Row],[RemarkHash]])&gt;1,"RepeatedRemark","OK"))</f>
        <v>OK</v>
      </c>
      <c r="AA172" s="17">
        <f>IF( AND( ISNUMBER(NPS_Data[[#This Row],[CreatedDateTime]]), ISNUMBER(NPS_Data[[#This Row],[ResolvedDateTime]]) ), (NPS_Data[[#This Row],[ResolvedDateTime]] - NPS_Data[[#This Row],[CreatedDateTime]]) * 24, 0 )</f>
        <v>0</v>
      </c>
      <c r="AB172" s="65" t="str">
        <f>IF(NOT(ISNA(NPS_Data[[#This Row],[CreatedDateTime]])),
   YEAR(NPS_Data[[#This Row],[CreatedDateTime]]) &amp; "-" &amp; TEXT(WEEKNUM(NPS_Data[[#This Row],[CreatedDateTime]],2),"00"),
   "")</f>
        <v>2025-37</v>
      </c>
      <c r="AC172" s="14" t="str">
        <f>IF(NOT(ISNA(NPS_Data[[#This Row],[CreatedDateTime]])), TEXT(NPS_Data[[#This Row],[CreatedDateTime]],"YYYY-MM"), "")</f>
        <v>2025-09</v>
      </c>
      <c r="AD172" s="14" t="str">
        <f>IF(NOT(ISNUMBER(NPS_Data[[#This Row],[ResolutionHours]])),"Open", IF(NPS_Data[[#This Row],[ResolutionHours]]&gt;72,"Breach","OK"))</f>
        <v>OK</v>
      </c>
      <c r="AE172" s="14">
        <f>IF(AND(ISNUMBER(NPS_Data[[#This Row],[CreatedDateTime]]), ISNUMBER(NPS_Data[[#This Row],[ResolvedDateTime]])), 1, 0)</f>
        <v>0</v>
      </c>
      <c r="AF172" s="48" t="str">
        <f>IF(NOT(ISNA(NPS_Data[[#This Row],[CreatedDateTime]])), TEXT(NPS_Data[[#This Row],[CreatedDateTime]],"dddd"), "")</f>
        <v>Saturday</v>
      </c>
    </row>
    <row r="173" spans="1:32" x14ac:dyDescent="0.25">
      <c r="A173" s="2" t="s">
        <v>1009</v>
      </c>
      <c r="B173" s="2" t="s">
        <v>127</v>
      </c>
      <c r="C173" s="2" t="s">
        <v>1010</v>
      </c>
      <c r="D17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45878.445405092592</v>
      </c>
      <c r="E173" s="2" t="s">
        <v>44</v>
      </c>
      <c r="H173"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73" s="2" t="s">
        <v>23</v>
      </c>
      <c r="J173" s="2" t="s">
        <v>23</v>
      </c>
      <c r="K173" s="2" t="s">
        <v>24</v>
      </c>
      <c r="L173" s="2" t="s">
        <v>1011</v>
      </c>
      <c r="M173" s="2" t="s">
        <v>1012</v>
      </c>
      <c r="N173" s="2" t="s">
        <v>1013</v>
      </c>
      <c r="O173" s="2" t="s">
        <v>177</v>
      </c>
      <c r="P173" s="2" t="s">
        <v>125</v>
      </c>
      <c r="Q173" s="3">
        <v>8</v>
      </c>
      <c r="R173" s="2" t="s">
        <v>49</v>
      </c>
      <c r="S173" s="2" t="s">
        <v>116</v>
      </c>
      <c r="T173" s="2" t="str">
        <f>IF(OR(NPS_Data[[#This Row],[CreatedDateTime]]="",NPS_Data[[#This Row],[Assigned To]]="",NPS_Data[[#This Row],[Issue 2 - NPS]]="",NPS_Data[[#This Row],[Program Name]]=""),"Missing","OK")</f>
        <v>OK</v>
      </c>
      <c r="U173" s="2" t="str">
        <f>IF(
  AND(NPS_Data[[#This Row],[Status]]="Complete", OR(ISNA(NPS_Data[[#This Row],[ResolvedDateTime]]), ISBLANK(NPS_Data[[#This Row],[ResolvedDateTime]]))),
  "CompleteNoResolved",
  IF(
    AND(NPS_Data[[#This Row],[Status]]="Pending", NPS_Data[[#This Row],[Sub Status]]="Solved"),
    "PendingButSolved",
    "OK"
  )
)</f>
        <v>OK</v>
      </c>
      <c r="V17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73" s="2" t="str">
        <f>IFERROR(TRIM(CLEAN(NPS_Data[[#This Row],[Ticket All Remarks]])),"")</f>
        <v>TA Rohit takes 2-3 days to respond to doubt resolution requests. Critical errors in assignments go unresolved, affecting submission deadlines. || Resolution: Implemented 24-hour response SLA for TAs and hired additional support staff</v>
      </c>
      <c r="X173" s="2" cm="1">
        <f t="array" aca="1" ref="X173" ca="1">IF(NPS_Data[[#This Row],[CleanRemark]]="","",
   SUMPRODUCT(CODE(MID(NPS_Data[[#This Row],[CleanRemark]],ROW(INDIRECT("1:"&amp;LEN(NPS_Data[[#This Row],[CleanRemark]]))),1))))</f>
        <v>21891</v>
      </c>
      <c r="Y173" s="2" t="str">
        <f>IF(COUNTIF(NPS_Data[Ticket No],NPS_Data[[#This Row],[Ticket No]])&gt;1,"Duplicate","OK")</f>
        <v>OK</v>
      </c>
      <c r="Z173" s="2" t="str">
        <f ca="1">IF(NPS_Data[[#This Row],[RemarkHash]]="","OK",
   IF(COUNTIF(NPS_Data[RemarkHash],NPS_Data[[#This Row],[RemarkHash]])&gt;1,"RepeatedRemark","OK"))</f>
        <v>RepeatedRemark</v>
      </c>
      <c r="AA173" s="17">
        <f>IF( AND( ISNUMBER(NPS_Data[[#This Row],[CreatedDateTime]]), ISNUMBER(NPS_Data[[#This Row],[ResolvedDateTime]]) ), (NPS_Data[[#This Row],[ResolvedDateTime]] - NPS_Data[[#This Row],[CreatedDateTime]]) * 24, 0 )</f>
        <v>0</v>
      </c>
      <c r="AB173" s="65" t="str">
        <f>IF(NOT(ISNA(NPS_Data[[#This Row],[CreatedDateTime]])),
   YEAR(NPS_Data[[#This Row],[CreatedDateTime]]) &amp; "-" &amp; TEXT(WEEKNUM(NPS_Data[[#This Row],[CreatedDateTime]],2),"00"),
   "")</f>
        <v>2025-32</v>
      </c>
      <c r="AC173" s="14" t="str">
        <f>IF(NOT(ISNA(NPS_Data[[#This Row],[CreatedDateTime]])), TEXT(NPS_Data[[#This Row],[CreatedDateTime]],"YYYY-MM"), "")</f>
        <v>2025-08</v>
      </c>
      <c r="AD173" s="14" t="str">
        <f>IF(NOT(ISNUMBER(NPS_Data[[#This Row],[ResolutionHours]])),"Open", IF(NPS_Data[[#This Row],[ResolutionHours]]&gt;72,"Breach","OK"))</f>
        <v>OK</v>
      </c>
      <c r="AE173" s="14">
        <f>IF(AND(ISNUMBER(NPS_Data[[#This Row],[CreatedDateTime]]), ISNUMBER(NPS_Data[[#This Row],[ResolvedDateTime]])), 1, 0)</f>
        <v>0</v>
      </c>
      <c r="AF173" s="48" t="str">
        <f>IF(NOT(ISNA(NPS_Data[[#This Row],[CreatedDateTime]])), TEXT(NPS_Data[[#This Row],[CreatedDateTime]],"dddd"), "")</f>
        <v>Saturday</v>
      </c>
    </row>
    <row r="174" spans="1:32" x14ac:dyDescent="0.25">
      <c r="A174" s="2" t="s">
        <v>1014</v>
      </c>
      <c r="B174" s="2" t="s">
        <v>233</v>
      </c>
      <c r="C174" s="2" t="s">
        <v>1015</v>
      </c>
      <c r="D17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45889.520879629628</v>
      </c>
      <c r="E174" s="2" t="s">
        <v>219</v>
      </c>
      <c r="F174" s="2" t="s">
        <v>513</v>
      </c>
      <c r="G174" s="2" t="s">
        <v>1016</v>
      </c>
      <c r="H174"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45893.65353009259</v>
      </c>
      <c r="I174" s="2" t="s">
        <v>23</v>
      </c>
      <c r="J174" s="2" t="s">
        <v>23</v>
      </c>
      <c r="K174" s="2" t="s">
        <v>88</v>
      </c>
      <c r="L174" s="2" t="s">
        <v>1017</v>
      </c>
      <c r="M174" s="2" t="s">
        <v>1018</v>
      </c>
      <c r="N174" s="2" t="s">
        <v>539</v>
      </c>
      <c r="O174" s="2" t="s">
        <v>28</v>
      </c>
      <c r="P174" s="2" t="s">
        <v>92</v>
      </c>
      <c r="Q174" s="3">
        <v>7</v>
      </c>
      <c r="R174" s="2" t="s">
        <v>30</v>
      </c>
      <c r="S174" s="2" t="s">
        <v>31</v>
      </c>
      <c r="T174" s="2" t="str">
        <f>IF(OR(NPS_Data[[#This Row],[CreatedDateTime]]="",NPS_Data[[#This Row],[Assigned To]]="",NPS_Data[[#This Row],[Issue 2 - NPS]]="",NPS_Data[[#This Row],[Program Name]]=""),"Missing","OK")</f>
        <v>OK</v>
      </c>
      <c r="U174" s="2" t="str">
        <f>IF(
  AND(NPS_Data[[#This Row],[Status]]="Complete", OR(ISNA(NPS_Data[[#This Row],[ResolvedDateTime]]), ISBLANK(NPS_Data[[#This Row],[ResolvedDateTime]]))),
  "CompleteNoResolved",
  IF(
    AND(NPS_Data[[#This Row],[Status]]="Pending", NPS_Data[[#This Row],[Sub Status]]="Solved"),
    "PendingButSolved",
    "OK"
  )
)</f>
        <v>OK</v>
      </c>
      <c r="V17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74" s="2" t="str">
        <f>IFERROR(TRIM(CLEAN(NPS_Data[[#This Row],[Ticket All Remarks]])),"")</f>
        <v>Interested in startup environment but concerned about job security with family responsibilities. Need advice on evaluating startup opportunities vs established companies. || Resolution: Conducted detailed career counseling session on risk assessment and planning</v>
      </c>
      <c r="X174" s="2" cm="1">
        <f t="array" aca="1" ref="X174" ca="1">IF(NPS_Data[[#This Row],[CleanRemark]]="","",
   SUMPRODUCT(CODE(MID(NPS_Data[[#This Row],[CleanRemark]],ROW(INDIRECT("1:"&amp;LEN(NPS_Data[[#This Row],[CleanRemark]]))),1))))</f>
        <v>25613</v>
      </c>
      <c r="Y174" s="2" t="str">
        <f>IF(COUNTIF(NPS_Data[Ticket No],NPS_Data[[#This Row],[Ticket No]])&gt;1,"Duplicate","OK")</f>
        <v>OK</v>
      </c>
      <c r="Z174" s="2" t="str">
        <f ca="1">IF(NPS_Data[[#This Row],[RemarkHash]]="","OK",
   IF(COUNTIF(NPS_Data[RemarkHash],NPS_Data[[#This Row],[RemarkHash]])&gt;1,"RepeatedRemark","OK"))</f>
        <v>RepeatedRemark</v>
      </c>
      <c r="AA174" s="17">
        <f>IF( AND( ISNUMBER(NPS_Data[[#This Row],[CreatedDateTime]]), ISNUMBER(NPS_Data[[#This Row],[ResolvedDateTime]]) ), (NPS_Data[[#This Row],[ResolvedDateTime]] - NPS_Data[[#This Row],[CreatedDateTime]]) * 24, 0 )</f>
        <v>99.183611111075152</v>
      </c>
      <c r="AB174" s="65" t="str">
        <f>IF(NOT(ISNA(NPS_Data[[#This Row],[CreatedDateTime]])),
   YEAR(NPS_Data[[#This Row],[CreatedDateTime]]) &amp; "-" &amp; TEXT(WEEKNUM(NPS_Data[[#This Row],[CreatedDateTime]],2),"00"),
   "")</f>
        <v>2025-34</v>
      </c>
      <c r="AC174" s="14" t="str">
        <f>IF(NOT(ISNA(NPS_Data[[#This Row],[CreatedDateTime]])), TEXT(NPS_Data[[#This Row],[CreatedDateTime]],"YYYY-MM"), "")</f>
        <v>2025-08</v>
      </c>
      <c r="AD174" s="14" t="str">
        <f>IF(NOT(ISNUMBER(NPS_Data[[#This Row],[ResolutionHours]])),"Open", IF(NPS_Data[[#This Row],[ResolutionHours]]&gt;72,"Breach","OK"))</f>
        <v>Breach</v>
      </c>
      <c r="AE174" s="14">
        <f>IF(AND(ISNUMBER(NPS_Data[[#This Row],[CreatedDateTime]]), ISNUMBER(NPS_Data[[#This Row],[ResolvedDateTime]])), 1, 0)</f>
        <v>1</v>
      </c>
      <c r="AF174" s="48" t="str">
        <f>IF(NOT(ISNA(NPS_Data[[#This Row],[CreatedDateTime]])), TEXT(NPS_Data[[#This Row],[CreatedDateTime]],"dddd"), "")</f>
        <v>Wednesday</v>
      </c>
    </row>
    <row r="175" spans="1:32" x14ac:dyDescent="0.25">
      <c r="A175" s="2" t="s">
        <v>1019</v>
      </c>
      <c r="B175" s="2" t="s">
        <v>172</v>
      </c>
      <c r="C175" s="2" t="s">
        <v>531</v>
      </c>
      <c r="D17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45891.516724537039</v>
      </c>
      <c r="E175" s="2" t="s">
        <v>20</v>
      </c>
      <c r="H175"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75" s="2" t="s">
        <v>23</v>
      </c>
      <c r="J175" s="2" t="s">
        <v>23</v>
      </c>
      <c r="K175" s="2" t="s">
        <v>56</v>
      </c>
      <c r="L175" s="2" t="s">
        <v>1020</v>
      </c>
      <c r="M175" s="2" t="s">
        <v>1021</v>
      </c>
      <c r="N175" s="2" t="s">
        <v>1022</v>
      </c>
      <c r="O175" s="2" t="s">
        <v>177</v>
      </c>
      <c r="P175" s="2" t="s">
        <v>216</v>
      </c>
      <c r="Q175" s="3">
        <v>5</v>
      </c>
      <c r="R175" s="2" t="s">
        <v>49</v>
      </c>
      <c r="S175" s="2" t="s">
        <v>116</v>
      </c>
      <c r="T175" s="2" t="str">
        <f>IF(OR(NPS_Data[[#This Row],[CreatedDateTime]]="",NPS_Data[[#This Row],[Assigned To]]="",NPS_Data[[#This Row],[Issue 2 - NPS]]="",NPS_Data[[#This Row],[Program Name]]=""),"Missing","OK")</f>
        <v>OK</v>
      </c>
      <c r="U175" s="2" t="str">
        <f>IF(
  AND(NPS_Data[[#This Row],[Status]]="Complete", OR(ISNA(NPS_Data[[#This Row],[ResolvedDateTime]]), ISBLANK(NPS_Data[[#This Row],[ResolvedDateTime]]))),
  "CompleteNoResolved",
  IF(
    AND(NPS_Data[[#This Row],[Status]]="Pending", NPS_Data[[#This Row],[Sub Status]]="Solved"),
    "PendingButSolved",
    "OK"
  )
)</f>
        <v>OK</v>
      </c>
      <c r="V17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75" s="2" t="str">
        <f>IFERROR(TRIM(CLEAN(NPS_Data[[#This Row],[Ticket All Remarks]])),"")</f>
        <v>Mock interview sessions lack depth. Mentor asks basic questions without simulating real interview pressure or providing improvement feedback. || Resolution: Upgraded to senior mentor with interviewing experience at target companies</v>
      </c>
      <c r="X175" s="2" cm="1">
        <f t="array" aca="1" ref="X175" ca="1">IF(NPS_Data[[#This Row],[CleanRemark]]="","",
   SUMPRODUCT(CODE(MID(NPS_Data[[#This Row],[CleanRemark]],ROW(INDIRECT("1:"&amp;LEN(NPS_Data[[#This Row],[CleanRemark]]))),1))))</f>
        <v>22571</v>
      </c>
      <c r="Y175" s="2" t="str">
        <f>IF(COUNTIF(NPS_Data[Ticket No],NPS_Data[[#This Row],[Ticket No]])&gt;1,"Duplicate","OK")</f>
        <v>OK</v>
      </c>
      <c r="Z175" s="2" t="str">
        <f ca="1">IF(NPS_Data[[#This Row],[RemarkHash]]="","OK",
   IF(COUNTIF(NPS_Data[RemarkHash],NPS_Data[[#This Row],[RemarkHash]])&gt;1,"RepeatedRemark","OK"))</f>
        <v>OK</v>
      </c>
      <c r="AA175" s="17">
        <f>IF( AND( ISNUMBER(NPS_Data[[#This Row],[CreatedDateTime]]), ISNUMBER(NPS_Data[[#This Row],[ResolvedDateTime]]) ), (NPS_Data[[#This Row],[ResolvedDateTime]] - NPS_Data[[#This Row],[CreatedDateTime]]) * 24, 0 )</f>
        <v>0</v>
      </c>
      <c r="AB175" s="65" t="str">
        <f>IF(NOT(ISNA(NPS_Data[[#This Row],[CreatedDateTime]])),
   YEAR(NPS_Data[[#This Row],[CreatedDateTime]]) &amp; "-" &amp; TEXT(WEEKNUM(NPS_Data[[#This Row],[CreatedDateTime]],2),"00"),
   "")</f>
        <v>2025-34</v>
      </c>
      <c r="AC175" s="14" t="str">
        <f>IF(NOT(ISNA(NPS_Data[[#This Row],[CreatedDateTime]])), TEXT(NPS_Data[[#This Row],[CreatedDateTime]],"YYYY-MM"), "")</f>
        <v>2025-08</v>
      </c>
      <c r="AD175" s="14" t="str">
        <f>IF(NOT(ISNUMBER(NPS_Data[[#This Row],[ResolutionHours]])),"Open", IF(NPS_Data[[#This Row],[ResolutionHours]]&gt;72,"Breach","OK"))</f>
        <v>OK</v>
      </c>
      <c r="AE175" s="14">
        <f>IF(AND(ISNUMBER(NPS_Data[[#This Row],[CreatedDateTime]]), ISNUMBER(NPS_Data[[#This Row],[ResolvedDateTime]])), 1, 0)</f>
        <v>0</v>
      </c>
      <c r="AF175" s="48" t="str">
        <f>IF(NOT(ISNA(NPS_Data[[#This Row],[CreatedDateTime]])), TEXT(NPS_Data[[#This Row],[CreatedDateTime]],"dddd"), "")</f>
        <v>Friday</v>
      </c>
    </row>
    <row r="176" spans="1:32" x14ac:dyDescent="0.25">
      <c r="A176" s="2" t="s">
        <v>1023</v>
      </c>
      <c r="B176" s="2" t="s">
        <v>331</v>
      </c>
      <c r="C176" s="2" t="s">
        <v>1024</v>
      </c>
      <c r="D17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45919.73333333333</v>
      </c>
      <c r="E176" s="2" t="s">
        <v>113</v>
      </c>
      <c r="H176"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76" s="2" t="s">
        <v>23</v>
      </c>
      <c r="J176" s="2" t="s">
        <v>23</v>
      </c>
      <c r="K176" s="2" t="s">
        <v>24</v>
      </c>
      <c r="L176" s="2" t="s">
        <v>1025</v>
      </c>
      <c r="M176" s="2" t="s">
        <v>1026</v>
      </c>
      <c r="N176" s="2" t="s">
        <v>793</v>
      </c>
      <c r="O176" s="2" t="s">
        <v>177</v>
      </c>
      <c r="P176" s="2" t="s">
        <v>92</v>
      </c>
      <c r="Q176" s="3">
        <v>4</v>
      </c>
      <c r="R176" s="2" t="s">
        <v>49</v>
      </c>
      <c r="S176" s="2" t="s">
        <v>133</v>
      </c>
      <c r="T176" s="2" t="str">
        <f>IF(OR(NPS_Data[[#This Row],[CreatedDateTime]]="",NPS_Data[[#This Row],[Assigned To]]="",NPS_Data[[#This Row],[Issue 2 - NPS]]="",NPS_Data[[#This Row],[Program Name]]=""),"Missing","OK")</f>
        <v>OK</v>
      </c>
      <c r="U176" s="2" t="str">
        <f>IF(
  AND(NPS_Data[[#This Row],[Status]]="Complete", OR(ISNA(NPS_Data[[#This Row],[ResolvedDateTime]]), ISBLANK(NPS_Data[[#This Row],[ResolvedDateTime]]))),
  "CompleteNoResolved",
  IF(
    AND(NPS_Data[[#This Row],[Status]]="Pending", NPS_Data[[#This Row],[Sub Status]]="Solved"),
    "PendingButSolved",
    "OK"
  )
)</f>
        <v>OK</v>
      </c>
      <c r="V17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76" s="2" t="str">
        <f>IFERROR(TRIM(CLEAN(NPS_Data[[#This Row],[Ticket All Remarks]])),"")</f>
        <v>Want to pursue management track vs staying technical. Currently team lead but unsure about MBA requirements and career progression options. || Resolution: Arranged sessions with both technical architects and engineering managers</v>
      </c>
      <c r="X176" s="2" cm="1">
        <f t="array" aca="1" ref="X176" ca="1">IF(NPS_Data[[#This Row],[CleanRemark]]="","",
   SUMPRODUCT(CODE(MID(NPS_Data[[#This Row],[CleanRemark]],ROW(INDIRECT("1:"&amp;LEN(NPS_Data[[#This Row],[CleanRemark]]))),1))))</f>
        <v>21946</v>
      </c>
      <c r="Y176" s="2" t="str">
        <f>IF(COUNTIF(NPS_Data[Ticket No],NPS_Data[[#This Row],[Ticket No]])&gt;1,"Duplicate","OK")</f>
        <v>OK</v>
      </c>
      <c r="Z176" s="2" t="str">
        <f ca="1">IF(NPS_Data[[#This Row],[RemarkHash]]="","OK",
   IF(COUNTIF(NPS_Data[RemarkHash],NPS_Data[[#This Row],[RemarkHash]])&gt;1,"RepeatedRemark","OK"))</f>
        <v>RepeatedRemark</v>
      </c>
      <c r="AA176" s="17">
        <f>IF( AND( ISNUMBER(NPS_Data[[#This Row],[CreatedDateTime]]), ISNUMBER(NPS_Data[[#This Row],[ResolvedDateTime]]) ), (NPS_Data[[#This Row],[ResolvedDateTime]] - NPS_Data[[#This Row],[CreatedDateTime]]) * 24, 0 )</f>
        <v>0</v>
      </c>
      <c r="AB176" s="65" t="str">
        <f>IF(NOT(ISNA(NPS_Data[[#This Row],[CreatedDateTime]])),
   YEAR(NPS_Data[[#This Row],[CreatedDateTime]]) &amp; "-" &amp; TEXT(WEEKNUM(NPS_Data[[#This Row],[CreatedDateTime]],2),"00"),
   "")</f>
        <v>2025-38</v>
      </c>
      <c r="AC176" s="14" t="str">
        <f>IF(NOT(ISNA(NPS_Data[[#This Row],[CreatedDateTime]])), TEXT(NPS_Data[[#This Row],[CreatedDateTime]],"YYYY-MM"), "")</f>
        <v>2025-09</v>
      </c>
      <c r="AD176" s="14" t="str">
        <f>IF(NOT(ISNUMBER(NPS_Data[[#This Row],[ResolutionHours]])),"Open", IF(NPS_Data[[#This Row],[ResolutionHours]]&gt;72,"Breach","OK"))</f>
        <v>OK</v>
      </c>
      <c r="AE176" s="14">
        <f>IF(AND(ISNUMBER(NPS_Data[[#This Row],[CreatedDateTime]]), ISNUMBER(NPS_Data[[#This Row],[ResolvedDateTime]])), 1, 0)</f>
        <v>0</v>
      </c>
      <c r="AF176" s="48" t="str">
        <f>IF(NOT(ISNA(NPS_Data[[#This Row],[CreatedDateTime]])), TEXT(NPS_Data[[#This Row],[CreatedDateTime]],"dddd"), "")</f>
        <v>Friday</v>
      </c>
    </row>
    <row r="177" spans="1:32" x14ac:dyDescent="0.25">
      <c r="A177" s="2" t="s">
        <v>1027</v>
      </c>
      <c r="B177" s="2" t="s">
        <v>143</v>
      </c>
      <c r="C177" s="2" t="s">
        <v>1028</v>
      </c>
      <c r="D17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45896.442893518521</v>
      </c>
      <c r="E177" s="2" t="s">
        <v>104</v>
      </c>
      <c r="F177" s="2" t="s">
        <v>255</v>
      </c>
      <c r="G177" s="2" t="s">
        <v>1029</v>
      </c>
      <c r="H177"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45904.504131944443</v>
      </c>
      <c r="I177" s="2" t="s">
        <v>23</v>
      </c>
      <c r="J177" s="2" t="s">
        <v>23</v>
      </c>
      <c r="K177" s="2" t="s">
        <v>56</v>
      </c>
      <c r="L177" s="2" t="s">
        <v>1030</v>
      </c>
      <c r="M177" s="2" t="s">
        <v>1031</v>
      </c>
      <c r="N177" s="2" t="s">
        <v>567</v>
      </c>
      <c r="O177" s="2" t="s">
        <v>28</v>
      </c>
      <c r="P177" s="2" t="s">
        <v>60</v>
      </c>
      <c r="Q177" s="3">
        <v>2</v>
      </c>
      <c r="R177" s="2" t="s">
        <v>30</v>
      </c>
      <c r="S177" s="2" t="s">
        <v>31</v>
      </c>
      <c r="T177" s="2" t="str">
        <f>IF(OR(NPS_Data[[#This Row],[CreatedDateTime]]="",NPS_Data[[#This Row],[Assigned To]]="",NPS_Data[[#This Row],[Issue 2 - NPS]]="",NPS_Data[[#This Row],[Program Name]]=""),"Missing","OK")</f>
        <v>OK</v>
      </c>
      <c r="U177" s="2" t="str">
        <f>IF(
  AND(NPS_Data[[#This Row],[Status]]="Complete", OR(ISNA(NPS_Data[[#This Row],[ResolvedDateTime]]), ISBLANK(NPS_Data[[#This Row],[ResolvedDateTime]]))),
  "CompleteNoResolved",
  IF(
    AND(NPS_Data[[#This Row],[Status]]="Pending", NPS_Data[[#This Row],[Sub Status]]="Solved"),
    "PendingButSolved",
    "OK"
  )
)</f>
        <v>OK</v>
      </c>
      <c r="V17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77" s="2" t="str">
        <f>IFERROR(TRIM(CLEAN(NPS_Data[[#This Row],[Ticket All Remarks]])),"")</f>
        <v>Holiday classes scheduled during Diwali week without considering festival commitments. Attendance drops to 30% affecting AIML Jul25 momentum. || Resolution: Rescheduled holiday periods and created festival-friendly calendar</v>
      </c>
      <c r="X177" s="2" cm="1">
        <f t="array" aca="1" ref="X177" ca="1">IF(NPS_Data[[#This Row],[CleanRemark]]="","",
   SUMPRODUCT(CODE(MID(NPS_Data[[#This Row],[CleanRemark]],ROW(INDIRECT("1:"&amp;LEN(NPS_Data[[#This Row],[CleanRemark]]))),1))))</f>
        <v>21118</v>
      </c>
      <c r="Y177" s="2" t="str">
        <f>IF(COUNTIF(NPS_Data[Ticket No],NPS_Data[[#This Row],[Ticket No]])&gt;1,"Duplicate","OK")</f>
        <v>OK</v>
      </c>
      <c r="Z177" s="2" t="str">
        <f ca="1">IF(NPS_Data[[#This Row],[RemarkHash]]="","OK",
   IF(COUNTIF(NPS_Data[RemarkHash],NPS_Data[[#This Row],[RemarkHash]])&gt;1,"RepeatedRemark","OK"))</f>
        <v>RepeatedRemark</v>
      </c>
      <c r="AA177" s="17">
        <f>IF( AND( ISNUMBER(NPS_Data[[#This Row],[CreatedDateTime]]), ISNUMBER(NPS_Data[[#This Row],[ResolvedDateTime]]) ), (NPS_Data[[#This Row],[ResolvedDateTime]] - NPS_Data[[#This Row],[CreatedDateTime]]) * 24, 0 )</f>
        <v>193.46972222212935</v>
      </c>
      <c r="AB177" s="65" t="str">
        <f>IF(NOT(ISNA(NPS_Data[[#This Row],[CreatedDateTime]])),
   YEAR(NPS_Data[[#This Row],[CreatedDateTime]]) &amp; "-" &amp; TEXT(WEEKNUM(NPS_Data[[#This Row],[CreatedDateTime]],2),"00"),
   "")</f>
        <v>2025-35</v>
      </c>
      <c r="AC177" s="14" t="str">
        <f>IF(NOT(ISNA(NPS_Data[[#This Row],[CreatedDateTime]])), TEXT(NPS_Data[[#This Row],[CreatedDateTime]],"YYYY-MM"), "")</f>
        <v>2025-08</v>
      </c>
      <c r="AD177" s="14" t="str">
        <f>IF(NOT(ISNUMBER(NPS_Data[[#This Row],[ResolutionHours]])),"Open", IF(NPS_Data[[#This Row],[ResolutionHours]]&gt;72,"Breach","OK"))</f>
        <v>Breach</v>
      </c>
      <c r="AE177" s="14">
        <f>IF(AND(ISNUMBER(NPS_Data[[#This Row],[CreatedDateTime]]), ISNUMBER(NPS_Data[[#This Row],[ResolvedDateTime]])), 1, 0)</f>
        <v>1</v>
      </c>
      <c r="AF177" s="48" t="str">
        <f>IF(NOT(ISNA(NPS_Data[[#This Row],[CreatedDateTime]])), TEXT(NPS_Data[[#This Row],[CreatedDateTime]],"dddd"), "")</f>
        <v>Wednesday</v>
      </c>
    </row>
    <row r="178" spans="1:32" x14ac:dyDescent="0.25">
      <c r="A178" s="2" t="s">
        <v>1032</v>
      </c>
      <c r="B178" s="2" t="s">
        <v>918</v>
      </c>
      <c r="C178" s="2" t="s">
        <v>1033</v>
      </c>
      <c r="D17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45911.523356481484</v>
      </c>
      <c r="E178" s="2" t="s">
        <v>80</v>
      </c>
      <c r="F178" s="2" t="s">
        <v>372</v>
      </c>
      <c r="G178" s="2" t="s">
        <v>1034</v>
      </c>
      <c r="H178"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45920.776921296296</v>
      </c>
      <c r="I178" s="2" t="s">
        <v>23</v>
      </c>
      <c r="J178" s="2" t="s">
        <v>23</v>
      </c>
      <c r="K178" s="2" t="s">
        <v>38</v>
      </c>
      <c r="L178" s="2" t="s">
        <v>1035</v>
      </c>
      <c r="M178" s="2" t="s">
        <v>1036</v>
      </c>
      <c r="N178" s="2" t="s">
        <v>27</v>
      </c>
      <c r="O178" s="2" t="s">
        <v>48</v>
      </c>
      <c r="P178" s="2" t="s">
        <v>29</v>
      </c>
      <c r="Q178" s="3">
        <v>3</v>
      </c>
      <c r="R178" s="2" t="s">
        <v>30</v>
      </c>
      <c r="S178" s="2" t="s">
        <v>31</v>
      </c>
      <c r="T178" s="2" t="str">
        <f>IF(OR(NPS_Data[[#This Row],[CreatedDateTime]]="",NPS_Data[[#This Row],[Assigned To]]="",NPS_Data[[#This Row],[Issue 2 - NPS]]="",NPS_Data[[#This Row],[Program Name]]=""),"Missing","OK")</f>
        <v>OK</v>
      </c>
      <c r="U178" s="2" t="str">
        <f>IF(
  AND(NPS_Data[[#This Row],[Status]]="Complete", OR(ISNA(NPS_Data[[#This Row],[ResolvedDateTime]]), ISBLANK(NPS_Data[[#This Row],[ResolvedDateTime]]))),
  "CompleteNoResolved",
  IF(
    AND(NPS_Data[[#This Row],[Status]]="Pending", NPS_Data[[#This Row],[Sub Status]]="Solved"),
    "PendingButSolved",
    "OK"
  )
)</f>
        <v>OK</v>
      </c>
      <c r="V17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78" s="2" t="str">
        <f>IFERROR(TRIM(CLEAN(NPS_Data[[#This Row],[Ticket All Remarks]])),"")</f>
        <v>No code review feedback provided for assignments. Submitting working solutions but don't know if following best practices or industry standards. || Resolution: Introduced mandatory code review sessions with senior developers</v>
      </c>
      <c r="X178" s="2" cm="1">
        <f t="array" aca="1" ref="X178" ca="1">IF(NPS_Data[[#This Row],[CleanRemark]]="","",
   SUMPRODUCT(CODE(MID(NPS_Data[[#This Row],[CleanRemark]],ROW(INDIRECT("1:"&amp;LEN(NPS_Data[[#This Row],[CleanRemark]]))),1))))</f>
        <v>21754</v>
      </c>
      <c r="Y178" s="2" t="str">
        <f>IF(COUNTIF(NPS_Data[Ticket No],NPS_Data[[#This Row],[Ticket No]])&gt;1,"Duplicate","OK")</f>
        <v>OK</v>
      </c>
      <c r="Z178" s="2" t="str">
        <f ca="1">IF(NPS_Data[[#This Row],[RemarkHash]]="","OK",
   IF(COUNTIF(NPS_Data[RemarkHash],NPS_Data[[#This Row],[RemarkHash]])&gt;1,"RepeatedRemark","OK"))</f>
        <v>RepeatedRemark</v>
      </c>
      <c r="AA178" s="17">
        <f>IF( AND( ISNUMBER(NPS_Data[[#This Row],[CreatedDateTime]]), ISNUMBER(NPS_Data[[#This Row],[ResolvedDateTime]]) ), (NPS_Data[[#This Row],[ResolvedDateTime]] - NPS_Data[[#This Row],[CreatedDateTime]]) * 24, 0 )</f>
        <v>222.08555555547355</v>
      </c>
      <c r="AB178" s="65" t="str">
        <f>IF(NOT(ISNA(NPS_Data[[#This Row],[CreatedDateTime]])),
   YEAR(NPS_Data[[#This Row],[CreatedDateTime]]) &amp; "-" &amp; TEXT(WEEKNUM(NPS_Data[[#This Row],[CreatedDateTime]],2),"00"),
   "")</f>
        <v>2025-37</v>
      </c>
      <c r="AC178" s="14" t="str">
        <f>IF(NOT(ISNA(NPS_Data[[#This Row],[CreatedDateTime]])), TEXT(NPS_Data[[#This Row],[CreatedDateTime]],"YYYY-MM"), "")</f>
        <v>2025-09</v>
      </c>
      <c r="AD178" s="14" t="str">
        <f>IF(NOT(ISNUMBER(NPS_Data[[#This Row],[ResolutionHours]])),"Open", IF(NPS_Data[[#This Row],[ResolutionHours]]&gt;72,"Breach","OK"))</f>
        <v>Breach</v>
      </c>
      <c r="AE178" s="14">
        <f>IF(AND(ISNUMBER(NPS_Data[[#This Row],[CreatedDateTime]]), ISNUMBER(NPS_Data[[#This Row],[ResolvedDateTime]])), 1, 0)</f>
        <v>1</v>
      </c>
      <c r="AF178" s="48" t="str">
        <f>IF(NOT(ISNA(NPS_Data[[#This Row],[CreatedDateTime]])), TEXT(NPS_Data[[#This Row],[CreatedDateTime]],"dddd"), "")</f>
        <v>Thursday</v>
      </c>
    </row>
    <row r="179" spans="1:32" x14ac:dyDescent="0.25">
      <c r="A179" s="2" t="s">
        <v>1037</v>
      </c>
      <c r="B179" s="2" t="s">
        <v>94</v>
      </c>
      <c r="C179" s="2" t="s">
        <v>1038</v>
      </c>
      <c r="D17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45901.391655092593</v>
      </c>
      <c r="E179" s="2" t="s">
        <v>167</v>
      </c>
      <c r="F179" s="2" t="s">
        <v>257</v>
      </c>
      <c r="G179" s="2" t="s">
        <v>1039</v>
      </c>
      <c r="H179"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45905.694884259261</v>
      </c>
      <c r="I179" s="2" t="s">
        <v>23</v>
      </c>
      <c r="J179" s="2" t="s">
        <v>23</v>
      </c>
      <c r="K179" s="2" t="s">
        <v>38</v>
      </c>
      <c r="L179" s="2" t="s">
        <v>1040</v>
      </c>
      <c r="M179" s="2" t="s">
        <v>1041</v>
      </c>
      <c r="N179" s="2" t="s">
        <v>545</v>
      </c>
      <c r="O179" s="2" t="s">
        <v>28</v>
      </c>
      <c r="P179" s="2" t="s">
        <v>189</v>
      </c>
      <c r="Q179" s="3">
        <v>10</v>
      </c>
      <c r="R179" s="2" t="s">
        <v>30</v>
      </c>
      <c r="S179" s="2" t="s">
        <v>31</v>
      </c>
      <c r="T179" s="2" t="str">
        <f>IF(OR(NPS_Data[[#This Row],[CreatedDateTime]]="",NPS_Data[[#This Row],[Assigned To]]="",NPS_Data[[#This Row],[Issue 2 - NPS]]="",NPS_Data[[#This Row],[Program Name]]=""),"Missing","OK")</f>
        <v>OK</v>
      </c>
      <c r="U179" s="2" t="str">
        <f>IF(
  AND(NPS_Data[[#This Row],[Status]]="Complete", OR(ISNA(NPS_Data[[#This Row],[ResolvedDateTime]]), ISBLANK(NPS_Data[[#This Row],[ResolvedDateTime]]))),
  "CompleteNoResolved",
  IF(
    AND(NPS_Data[[#This Row],[Status]]="Pending", NPS_Data[[#This Row],[Sub Status]]="Solved"),
    "PendingButSolved",
    "OK"
  )
)</f>
        <v>OK</v>
      </c>
      <c r="V17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79" s="2" t="str">
        <f>IFERROR(TRIM(CLEAN(NPS_Data[[#This Row],[Ticket All Remarks]])),"")</f>
        <v>Evening AIML Aug25 starts at 7 PM when dinner time with family. Work-life balance getting affected due to late learning schedule. || Resolution: Introduced early evening slots (6-8 PM) based on demand</v>
      </c>
      <c r="X179" s="2" cm="1">
        <f t="array" aca="1" ref="X179" ca="1">IF(NPS_Data[[#This Row],[CleanRemark]]="","",
   SUMPRODUCT(CODE(MID(NPS_Data[[#This Row],[CleanRemark]],ROW(INDIRECT("1:"&amp;LEN(NPS_Data[[#This Row],[CleanRemark]]))),1))))</f>
        <v>18009</v>
      </c>
      <c r="Y179" s="2" t="str">
        <f>IF(COUNTIF(NPS_Data[Ticket No],NPS_Data[[#This Row],[Ticket No]])&gt;1,"Duplicate","OK")</f>
        <v>OK</v>
      </c>
      <c r="Z179" s="2" t="str">
        <f ca="1">IF(NPS_Data[[#This Row],[RemarkHash]]="","OK",
   IF(COUNTIF(NPS_Data[RemarkHash],NPS_Data[[#This Row],[RemarkHash]])&gt;1,"RepeatedRemark","OK"))</f>
        <v>RepeatedRemark</v>
      </c>
      <c r="AA179" s="17">
        <f>IF( AND( ISNUMBER(NPS_Data[[#This Row],[CreatedDateTime]]), ISNUMBER(NPS_Data[[#This Row],[ResolvedDateTime]]) ), (NPS_Data[[#This Row],[ResolvedDateTime]] - NPS_Data[[#This Row],[CreatedDateTime]]) * 24, 0 )</f>
        <v>103.27750000002561</v>
      </c>
      <c r="AB179" s="65" t="str">
        <f>IF(NOT(ISNA(NPS_Data[[#This Row],[CreatedDateTime]])),
   YEAR(NPS_Data[[#This Row],[CreatedDateTime]]) &amp; "-" &amp; TEXT(WEEKNUM(NPS_Data[[#This Row],[CreatedDateTime]],2),"00"),
   "")</f>
        <v>2025-36</v>
      </c>
      <c r="AC179" s="14" t="str">
        <f>IF(NOT(ISNA(NPS_Data[[#This Row],[CreatedDateTime]])), TEXT(NPS_Data[[#This Row],[CreatedDateTime]],"YYYY-MM"), "")</f>
        <v>2025-09</v>
      </c>
      <c r="AD179" s="14" t="str">
        <f>IF(NOT(ISNUMBER(NPS_Data[[#This Row],[ResolutionHours]])),"Open", IF(NPS_Data[[#This Row],[ResolutionHours]]&gt;72,"Breach","OK"))</f>
        <v>Breach</v>
      </c>
      <c r="AE179" s="14">
        <f>IF(AND(ISNUMBER(NPS_Data[[#This Row],[CreatedDateTime]]), ISNUMBER(NPS_Data[[#This Row],[ResolvedDateTime]])), 1, 0)</f>
        <v>1</v>
      </c>
      <c r="AF179" s="48" t="str">
        <f>IF(NOT(ISNA(NPS_Data[[#This Row],[CreatedDateTime]])), TEXT(NPS_Data[[#This Row],[CreatedDateTime]],"dddd"), "")</f>
        <v>Monday</v>
      </c>
    </row>
    <row r="180" spans="1:32" x14ac:dyDescent="0.25">
      <c r="A180" s="2" t="s">
        <v>1042</v>
      </c>
      <c r="B180" s="2" t="s">
        <v>596</v>
      </c>
      <c r="C180" s="2" t="s">
        <v>1043</v>
      </c>
      <c r="D18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45881.550717592596</v>
      </c>
      <c r="E180" s="2" t="s">
        <v>71</v>
      </c>
      <c r="H180"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80" s="2" t="s">
        <v>23</v>
      </c>
      <c r="J180" s="2" t="s">
        <v>23</v>
      </c>
      <c r="K180" s="2" t="s">
        <v>38</v>
      </c>
      <c r="L180" s="2" t="s">
        <v>1044</v>
      </c>
      <c r="M180" s="2" t="s">
        <v>1045</v>
      </c>
      <c r="N180" s="2" t="s">
        <v>998</v>
      </c>
      <c r="O180" s="2" t="s">
        <v>28</v>
      </c>
      <c r="P180" s="2" t="s">
        <v>29</v>
      </c>
      <c r="Q180" s="3">
        <v>2</v>
      </c>
      <c r="R180" s="2" t="s">
        <v>49</v>
      </c>
      <c r="S180" s="2" t="s">
        <v>133</v>
      </c>
      <c r="T180" s="2" t="str">
        <f>IF(OR(NPS_Data[[#This Row],[CreatedDateTime]]="",NPS_Data[[#This Row],[Assigned To]]="",NPS_Data[[#This Row],[Issue 2 - NPS]]="",NPS_Data[[#This Row],[Program Name]]=""),"Missing","OK")</f>
        <v>OK</v>
      </c>
      <c r="U180" s="2" t="str">
        <f>IF(
  AND(NPS_Data[[#This Row],[Status]]="Complete", OR(ISNA(NPS_Data[[#This Row],[ResolvedDateTime]]), ISBLANK(NPS_Data[[#This Row],[ResolvedDateTime]]))),
  "CompleteNoResolved",
  IF(
    AND(NPS_Data[[#This Row],[Status]]="Pending", NPS_Data[[#This Row],[Sub Status]]="Solved"),
    "PendingButSolved",
    "OK"
  )
)</f>
        <v>OK</v>
      </c>
      <c r="V18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80" s="2" t="str">
        <f>IFERROR(TRIM(CLEAN(NPS_Data[[#This Row],[Ticket All Remarks]])),"")</f>
        <v>Assignment instructions assume prior knowledge not covered in lectures. Database project requires PostgreSQL when only MySQL was taught in class. || Resolution: Added prerequisite tutorials and Azure setup guides</v>
      </c>
      <c r="X180" s="2" cm="1">
        <f t="array" aca="1" ref="X180" ca="1">IF(NPS_Data[[#This Row],[CleanRemark]]="","",
   SUMPRODUCT(CODE(MID(NPS_Data[[#This Row],[CleanRemark]],ROW(INDIRECT("1:"&amp;LEN(NPS_Data[[#This Row],[CleanRemark]]))),1))))</f>
        <v>20359</v>
      </c>
      <c r="Y180" s="2" t="str">
        <f>IF(COUNTIF(NPS_Data[Ticket No],NPS_Data[[#This Row],[Ticket No]])&gt;1,"Duplicate","OK")</f>
        <v>OK</v>
      </c>
      <c r="Z180" s="2" t="str">
        <f ca="1">IF(NPS_Data[[#This Row],[RemarkHash]]="","OK",
   IF(COUNTIF(NPS_Data[RemarkHash],NPS_Data[[#This Row],[RemarkHash]])&gt;1,"RepeatedRemark","OK"))</f>
        <v>RepeatedRemark</v>
      </c>
      <c r="AA180" s="17">
        <f>IF( AND( ISNUMBER(NPS_Data[[#This Row],[CreatedDateTime]]), ISNUMBER(NPS_Data[[#This Row],[ResolvedDateTime]]) ), (NPS_Data[[#This Row],[ResolvedDateTime]] - NPS_Data[[#This Row],[CreatedDateTime]]) * 24, 0 )</f>
        <v>0</v>
      </c>
      <c r="AB180" s="65" t="str">
        <f>IF(NOT(ISNA(NPS_Data[[#This Row],[CreatedDateTime]])),
   YEAR(NPS_Data[[#This Row],[CreatedDateTime]]) &amp; "-" &amp; TEXT(WEEKNUM(NPS_Data[[#This Row],[CreatedDateTime]],2),"00"),
   "")</f>
        <v>2025-33</v>
      </c>
      <c r="AC180" s="14" t="str">
        <f>IF(NOT(ISNA(NPS_Data[[#This Row],[CreatedDateTime]])), TEXT(NPS_Data[[#This Row],[CreatedDateTime]],"YYYY-MM"), "")</f>
        <v>2025-08</v>
      </c>
      <c r="AD180" s="14" t="str">
        <f>IF(NOT(ISNUMBER(NPS_Data[[#This Row],[ResolutionHours]])),"Open", IF(NPS_Data[[#This Row],[ResolutionHours]]&gt;72,"Breach","OK"))</f>
        <v>OK</v>
      </c>
      <c r="AE180" s="14">
        <f>IF(AND(ISNUMBER(NPS_Data[[#This Row],[CreatedDateTime]]), ISNUMBER(NPS_Data[[#This Row],[ResolvedDateTime]])), 1, 0)</f>
        <v>0</v>
      </c>
      <c r="AF180" s="48" t="str">
        <f>IF(NOT(ISNA(NPS_Data[[#This Row],[CreatedDateTime]])), TEXT(NPS_Data[[#This Row],[CreatedDateTime]],"dddd"), "")</f>
        <v>Tuesday</v>
      </c>
    </row>
    <row r="181" spans="1:32" x14ac:dyDescent="0.25">
      <c r="A181" s="2" t="s">
        <v>1046</v>
      </c>
      <c r="B181" s="2" t="s">
        <v>85</v>
      </c>
      <c r="C181" s="2" t="s">
        <v>1047</v>
      </c>
      <c r="D18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45897.429918981485</v>
      </c>
      <c r="E181" s="2" t="s">
        <v>80</v>
      </c>
      <c r="F181" s="2" t="s">
        <v>21</v>
      </c>
      <c r="G181" s="2" t="s">
        <v>1048</v>
      </c>
      <c r="H181"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45899.732395833336</v>
      </c>
      <c r="I181" s="2" t="s">
        <v>23</v>
      </c>
      <c r="J181" s="2" t="s">
        <v>23</v>
      </c>
      <c r="K181" s="2" t="s">
        <v>88</v>
      </c>
      <c r="L181" s="2" t="s">
        <v>1049</v>
      </c>
      <c r="M181" s="2" t="s">
        <v>1050</v>
      </c>
      <c r="N181" s="2" t="s">
        <v>1051</v>
      </c>
      <c r="O181" s="2" t="s">
        <v>177</v>
      </c>
      <c r="P181" s="2" t="s">
        <v>189</v>
      </c>
      <c r="Q181" s="3">
        <v>3</v>
      </c>
      <c r="R181" s="2" t="s">
        <v>30</v>
      </c>
      <c r="S181" s="2" t="s">
        <v>31</v>
      </c>
      <c r="T181" s="2" t="str">
        <f>IF(OR(NPS_Data[[#This Row],[CreatedDateTime]]="",NPS_Data[[#This Row],[Assigned To]]="",NPS_Data[[#This Row],[Issue 2 - NPS]]="",NPS_Data[[#This Row],[Program Name]]=""),"Missing","OK")</f>
        <v>OK</v>
      </c>
      <c r="U181" s="2" t="str">
        <f>IF(
  AND(NPS_Data[[#This Row],[Status]]="Complete", OR(ISNA(NPS_Data[[#This Row],[ResolvedDateTime]]), ISBLANK(NPS_Data[[#This Row],[ResolvedDateTime]]))),
  "CompleteNoResolved",
  IF(
    AND(NPS_Data[[#This Row],[Status]]="Pending", NPS_Data[[#This Row],[Sub Status]]="Solved"),
    "PendingButSolved",
    "OK"
  )
)</f>
        <v>OK</v>
      </c>
      <c r="V18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81" s="2" t="str">
        <f>IFERROR(TRIM(CLEAN(NPS_Data[[#This Row],[Ticket All Remarks]])),"")</f>
        <v>Job offers coming from service companies but goal is product companies. Unable to break into companies like Flipkart, Swiggy, or Zomato despite preparation. || Resolution: Connected with product Uber employees for referrals and insider insights</v>
      </c>
      <c r="X181" s="2" cm="1">
        <f t="array" aca="1" ref="X181" ca="1">IF(NPS_Data[[#This Row],[CleanRemark]]="","",
   SUMPRODUCT(CODE(MID(NPS_Data[[#This Row],[CleanRemark]],ROW(INDIRECT("1:"&amp;LEN(NPS_Data[[#This Row],[CleanRemark]]))),1))))</f>
        <v>23215</v>
      </c>
      <c r="Y181" s="2" t="str">
        <f>IF(COUNTIF(NPS_Data[Ticket No],NPS_Data[[#This Row],[Ticket No]])&gt;1,"Duplicate","OK")</f>
        <v>OK</v>
      </c>
      <c r="Z181" s="2" t="str">
        <f ca="1">IF(NPS_Data[[#This Row],[RemarkHash]]="","OK",
   IF(COUNTIF(NPS_Data[RemarkHash],NPS_Data[[#This Row],[RemarkHash]])&gt;1,"RepeatedRemark","OK"))</f>
        <v>OK</v>
      </c>
      <c r="AA181" s="17">
        <f>IF( AND( ISNUMBER(NPS_Data[[#This Row],[CreatedDateTime]]), ISNUMBER(NPS_Data[[#This Row],[ResolvedDateTime]]) ), (NPS_Data[[#This Row],[ResolvedDateTime]] - NPS_Data[[#This Row],[CreatedDateTime]]) * 24, 0 )</f>
        <v>55.259444444440305</v>
      </c>
      <c r="AB181" s="65" t="str">
        <f>IF(NOT(ISNA(NPS_Data[[#This Row],[CreatedDateTime]])),
   YEAR(NPS_Data[[#This Row],[CreatedDateTime]]) &amp; "-" &amp; TEXT(WEEKNUM(NPS_Data[[#This Row],[CreatedDateTime]],2),"00"),
   "")</f>
        <v>2025-35</v>
      </c>
      <c r="AC181" s="14" t="str">
        <f>IF(NOT(ISNA(NPS_Data[[#This Row],[CreatedDateTime]])), TEXT(NPS_Data[[#This Row],[CreatedDateTime]],"YYYY-MM"), "")</f>
        <v>2025-08</v>
      </c>
      <c r="AD181" s="14" t="str">
        <f>IF(NOT(ISNUMBER(NPS_Data[[#This Row],[ResolutionHours]])),"Open", IF(NPS_Data[[#This Row],[ResolutionHours]]&gt;72,"Breach","OK"))</f>
        <v>OK</v>
      </c>
      <c r="AE181" s="14">
        <f>IF(AND(ISNUMBER(NPS_Data[[#This Row],[CreatedDateTime]]), ISNUMBER(NPS_Data[[#This Row],[ResolvedDateTime]])), 1, 0)</f>
        <v>1</v>
      </c>
      <c r="AF181" s="48" t="str">
        <f>IF(NOT(ISNA(NPS_Data[[#This Row],[CreatedDateTime]])), TEXT(NPS_Data[[#This Row],[CreatedDateTime]],"dddd"), "")</f>
        <v>Thursday</v>
      </c>
    </row>
    <row r="182" spans="1:32" x14ac:dyDescent="0.25">
      <c r="A182" s="2" t="s">
        <v>1052</v>
      </c>
      <c r="B182" s="2" t="s">
        <v>288</v>
      </c>
      <c r="C182" s="2" t="s">
        <v>1053</v>
      </c>
      <c r="D18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45907.504155092596</v>
      </c>
      <c r="E182" s="2" t="s">
        <v>104</v>
      </c>
      <c r="F182" s="2" t="s">
        <v>211</v>
      </c>
      <c r="G182" s="2" t="s">
        <v>1054</v>
      </c>
      <c r="H182"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45918.43037037037</v>
      </c>
      <c r="I182" s="2" t="s">
        <v>23</v>
      </c>
      <c r="J182" s="2" t="s">
        <v>23</v>
      </c>
      <c r="K182" s="2" t="s">
        <v>88</v>
      </c>
      <c r="L182" s="2" t="s">
        <v>1055</v>
      </c>
      <c r="M182" s="2" t="s">
        <v>1056</v>
      </c>
      <c r="N182" s="2" t="s">
        <v>100</v>
      </c>
      <c r="O182" s="2" t="s">
        <v>41</v>
      </c>
      <c r="P182" s="2" t="s">
        <v>68</v>
      </c>
      <c r="Q182" s="3">
        <v>1</v>
      </c>
      <c r="R182" s="2" t="s">
        <v>30</v>
      </c>
      <c r="S182" s="2" t="s">
        <v>31</v>
      </c>
      <c r="T182" s="2" t="str">
        <f>IF(OR(NPS_Data[[#This Row],[CreatedDateTime]]="",NPS_Data[[#This Row],[Assigned To]]="",NPS_Data[[#This Row],[Issue 2 - NPS]]="",NPS_Data[[#This Row],[Program Name]]=""),"Missing","OK")</f>
        <v>OK</v>
      </c>
      <c r="U182" s="2" t="str">
        <f>IF(
  AND(NPS_Data[[#This Row],[Status]]="Complete", OR(ISNA(NPS_Data[[#This Row],[ResolvedDateTime]]), ISBLANK(NPS_Data[[#This Row],[ResolvedDateTime]]))),
  "CompleteNoResolved",
  IF(
    AND(NPS_Data[[#This Row],[Status]]="Pending", NPS_Data[[#This Row],[Sub Status]]="Solved"),
    "PendingButSolved",
    "OK"
  )
)</f>
        <v>OK</v>
      </c>
      <c r="V18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82" s="2" t="str">
        <f>IFERROR(TRIM(CLEAN(NPS_Data[[#This Row],[Ticket All Remarks]])),"")</f>
        <v>Sales promised 100% job guarantee within 6 months but placement team says no such commitment exists. Feel misled about course outcomes. || Resolution: Clarified placement support terms and provided additional career assistance</v>
      </c>
      <c r="X182" s="2" cm="1">
        <f t="array" aca="1" ref="X182" ca="1">IF(NPS_Data[[#This Row],[CleanRemark]]="","",
   SUMPRODUCT(CODE(MID(NPS_Data[[#This Row],[CleanRemark]],ROW(INDIRECT("1:"&amp;LEN(NPS_Data[[#This Row],[CleanRemark]]))),1))))</f>
        <v>21446</v>
      </c>
      <c r="Y182" s="2" t="str">
        <f>IF(COUNTIF(NPS_Data[Ticket No],NPS_Data[[#This Row],[Ticket No]])&gt;1,"Duplicate","OK")</f>
        <v>OK</v>
      </c>
      <c r="Z182" s="2" t="str">
        <f ca="1">IF(NPS_Data[[#This Row],[RemarkHash]]="","OK",
   IF(COUNTIF(NPS_Data[RemarkHash],NPS_Data[[#This Row],[RemarkHash]])&gt;1,"RepeatedRemark","OK"))</f>
        <v>RepeatedRemark</v>
      </c>
      <c r="AA182" s="17">
        <f>IF( AND( ISNUMBER(NPS_Data[[#This Row],[CreatedDateTime]]), ISNUMBER(NPS_Data[[#This Row],[ResolvedDateTime]]) ), (NPS_Data[[#This Row],[ResolvedDateTime]] - NPS_Data[[#This Row],[CreatedDateTime]]) * 24, 0 )</f>
        <v>262.22916666656965</v>
      </c>
      <c r="AB182" s="65" t="str">
        <f>IF(NOT(ISNA(NPS_Data[[#This Row],[CreatedDateTime]])),
   YEAR(NPS_Data[[#This Row],[CreatedDateTime]]) &amp; "-" &amp; TEXT(WEEKNUM(NPS_Data[[#This Row],[CreatedDateTime]],2),"00"),
   "")</f>
        <v>2025-36</v>
      </c>
      <c r="AC182" s="14" t="str">
        <f>IF(NOT(ISNA(NPS_Data[[#This Row],[CreatedDateTime]])), TEXT(NPS_Data[[#This Row],[CreatedDateTime]],"YYYY-MM"), "")</f>
        <v>2025-09</v>
      </c>
      <c r="AD182" s="14" t="str">
        <f>IF(NOT(ISNUMBER(NPS_Data[[#This Row],[ResolutionHours]])),"Open", IF(NPS_Data[[#This Row],[ResolutionHours]]&gt;72,"Breach","OK"))</f>
        <v>Breach</v>
      </c>
      <c r="AE182" s="14">
        <f>IF(AND(ISNUMBER(NPS_Data[[#This Row],[CreatedDateTime]]), ISNUMBER(NPS_Data[[#This Row],[ResolvedDateTime]])), 1, 0)</f>
        <v>1</v>
      </c>
      <c r="AF182" s="48" t="str">
        <f>IF(NOT(ISNA(NPS_Data[[#This Row],[CreatedDateTime]])), TEXT(NPS_Data[[#This Row],[CreatedDateTime]],"dddd"), "")</f>
        <v>Sunday</v>
      </c>
    </row>
    <row r="183" spans="1:32" x14ac:dyDescent="0.25">
      <c r="A183" s="2" t="s">
        <v>1057</v>
      </c>
      <c r="B183" s="2" t="s">
        <v>36</v>
      </c>
      <c r="C183" s="2" t="s">
        <v>1058</v>
      </c>
      <c r="D18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45912.682326388887</v>
      </c>
      <c r="E183" s="2" t="s">
        <v>80</v>
      </c>
      <c r="F183" s="2" t="s">
        <v>197</v>
      </c>
      <c r="G183" s="2" t="s">
        <v>689</v>
      </c>
      <c r="H183"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45914.406342592592</v>
      </c>
      <c r="I183" s="2" t="s">
        <v>23</v>
      </c>
      <c r="J183" s="2" t="s">
        <v>23</v>
      </c>
      <c r="K183" s="2" t="s">
        <v>24</v>
      </c>
      <c r="L183" s="2" t="s">
        <v>1059</v>
      </c>
      <c r="M183" s="2" t="s">
        <v>1060</v>
      </c>
      <c r="N183" s="2" t="s">
        <v>1013</v>
      </c>
      <c r="O183" s="2" t="s">
        <v>28</v>
      </c>
      <c r="P183" s="2" t="s">
        <v>125</v>
      </c>
      <c r="Q183" s="3">
        <v>6</v>
      </c>
      <c r="R183" s="2" t="s">
        <v>30</v>
      </c>
      <c r="S183" s="2" t="s">
        <v>31</v>
      </c>
      <c r="T183" s="2" t="str">
        <f>IF(OR(NPS_Data[[#This Row],[CreatedDateTime]]="",NPS_Data[[#This Row],[Assigned To]]="",NPS_Data[[#This Row],[Issue 2 - NPS]]="",NPS_Data[[#This Row],[Program Name]]=""),"Missing","OK")</f>
        <v>OK</v>
      </c>
      <c r="U183" s="2" t="str">
        <f>IF(
  AND(NPS_Data[[#This Row],[Status]]="Complete", OR(ISNA(NPS_Data[[#This Row],[ResolvedDateTime]]), ISBLANK(NPS_Data[[#This Row],[ResolvedDateTime]]))),
  "CompleteNoResolved",
  IF(
    AND(NPS_Data[[#This Row],[Status]]="Pending", NPS_Data[[#This Row],[Sub Status]]="Solved"),
    "PendingButSolved",
    "OK"
  )
)</f>
        <v>OK</v>
      </c>
      <c r="V18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83" s="2" t="str">
        <f>IFERROR(TRIM(CLEAN(NPS_Data[[#This Row],[Ticket All Remarks]])),"")</f>
        <v>TA Rohit takes 2-3 days to respond to doubt resolution requests. Critical errors in assignments go unresolved, affecting submission deadlines. || Resolution: Implemented 24-hour response SLA for TAs and hired additional support staff</v>
      </c>
      <c r="X183" s="2" cm="1">
        <f t="array" aca="1" ref="X183" ca="1">IF(NPS_Data[[#This Row],[CleanRemark]]="","",
   SUMPRODUCT(CODE(MID(NPS_Data[[#This Row],[CleanRemark]],ROW(INDIRECT("1:"&amp;LEN(NPS_Data[[#This Row],[CleanRemark]]))),1))))</f>
        <v>21891</v>
      </c>
      <c r="Y183" s="2" t="str">
        <f>IF(COUNTIF(NPS_Data[Ticket No],NPS_Data[[#This Row],[Ticket No]])&gt;1,"Duplicate","OK")</f>
        <v>OK</v>
      </c>
      <c r="Z183" s="2" t="str">
        <f ca="1">IF(NPS_Data[[#This Row],[RemarkHash]]="","OK",
   IF(COUNTIF(NPS_Data[RemarkHash],NPS_Data[[#This Row],[RemarkHash]])&gt;1,"RepeatedRemark","OK"))</f>
        <v>RepeatedRemark</v>
      </c>
      <c r="AA183" s="17">
        <f>IF( AND( ISNUMBER(NPS_Data[[#This Row],[CreatedDateTime]]), ISNUMBER(NPS_Data[[#This Row],[ResolvedDateTime]]) ), (NPS_Data[[#This Row],[ResolvedDateTime]] - NPS_Data[[#This Row],[CreatedDateTime]]) * 24, 0 )</f>
        <v>41.37638888892252</v>
      </c>
      <c r="AB183" s="65" t="str">
        <f>IF(NOT(ISNA(NPS_Data[[#This Row],[CreatedDateTime]])),
   YEAR(NPS_Data[[#This Row],[CreatedDateTime]]) &amp; "-" &amp; TEXT(WEEKNUM(NPS_Data[[#This Row],[CreatedDateTime]],2),"00"),
   "")</f>
        <v>2025-37</v>
      </c>
      <c r="AC183" s="14" t="str">
        <f>IF(NOT(ISNA(NPS_Data[[#This Row],[CreatedDateTime]])), TEXT(NPS_Data[[#This Row],[CreatedDateTime]],"YYYY-MM"), "")</f>
        <v>2025-09</v>
      </c>
      <c r="AD183" s="14" t="str">
        <f>IF(NOT(ISNUMBER(NPS_Data[[#This Row],[ResolutionHours]])),"Open", IF(NPS_Data[[#This Row],[ResolutionHours]]&gt;72,"Breach","OK"))</f>
        <v>OK</v>
      </c>
      <c r="AE183" s="14">
        <f>IF(AND(ISNUMBER(NPS_Data[[#This Row],[CreatedDateTime]]), ISNUMBER(NPS_Data[[#This Row],[ResolvedDateTime]])), 1, 0)</f>
        <v>1</v>
      </c>
      <c r="AF183" s="48" t="str">
        <f>IF(NOT(ISNA(NPS_Data[[#This Row],[CreatedDateTime]])), TEXT(NPS_Data[[#This Row],[CreatedDateTime]],"dddd"), "")</f>
        <v>Friday</v>
      </c>
    </row>
    <row r="184" spans="1:32" x14ac:dyDescent="0.25">
      <c r="A184" s="2" t="s">
        <v>1061</v>
      </c>
      <c r="B184" s="2" t="s">
        <v>54</v>
      </c>
      <c r="C184" s="2" t="s">
        <v>1062</v>
      </c>
      <c r="D18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45916.564629629633</v>
      </c>
      <c r="E184" s="2" t="s">
        <v>44</v>
      </c>
      <c r="H184"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84" s="2" t="s">
        <v>23</v>
      </c>
      <c r="J184" s="2" t="s">
        <v>23</v>
      </c>
      <c r="K184" s="2" t="s">
        <v>56</v>
      </c>
      <c r="L184" s="2" t="s">
        <v>1063</v>
      </c>
      <c r="M184" s="2" t="s">
        <v>1064</v>
      </c>
      <c r="N184" s="2" t="s">
        <v>346</v>
      </c>
      <c r="O184" s="2" t="s">
        <v>48</v>
      </c>
      <c r="P184" s="2" t="s">
        <v>60</v>
      </c>
      <c r="Q184" s="3">
        <v>2</v>
      </c>
      <c r="R184" s="2" t="s">
        <v>49</v>
      </c>
      <c r="S184" s="2" t="s">
        <v>133</v>
      </c>
      <c r="T184" s="2" t="str">
        <f>IF(OR(NPS_Data[[#This Row],[CreatedDateTime]]="",NPS_Data[[#This Row],[Assigned To]]="",NPS_Data[[#This Row],[Issue 2 - NPS]]="",NPS_Data[[#This Row],[Program Name]]=""),"Missing","OK")</f>
        <v>OK</v>
      </c>
      <c r="U184" s="2" t="str">
        <f>IF(
  AND(NPS_Data[[#This Row],[Status]]="Complete", OR(ISNA(NPS_Data[[#This Row],[ResolvedDateTime]]), ISBLANK(NPS_Data[[#This Row],[ResolvedDateTime]]))),
  "CompleteNoResolved",
  IF(
    AND(NPS_Data[[#This Row],[Status]]="Pending", NPS_Data[[#This Row],[Sub Status]]="Solved"),
    "PendingButSolved",
    "OK"
  )
)</f>
        <v>OK</v>
      </c>
      <c r="V18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84" s="2" t="str">
        <f>IFERROR(TRIM(CLEAN(NPS_Data[[#This Row],[Ticket All Remarks]])),"")</f>
        <v>Assignment deadlines clash with office project deliveries. Given 3 major assignments during typical sprint planning weeks. Need better coordination. || Resolution: Staggered assignment deadlines and provided extension options</v>
      </c>
      <c r="X184" s="2" cm="1">
        <f t="array" aca="1" ref="X184" ca="1">IF(NPS_Data[[#This Row],[CleanRemark]]="","",
   SUMPRODUCT(CODE(MID(NPS_Data[[#This Row],[CleanRemark]],ROW(INDIRECT("1:"&amp;LEN(NPS_Data[[#This Row],[CleanRemark]]))),1))))</f>
        <v>21738</v>
      </c>
      <c r="Y184" s="2" t="str">
        <f>IF(COUNTIF(NPS_Data[Ticket No],NPS_Data[[#This Row],[Ticket No]])&gt;1,"Duplicate","OK")</f>
        <v>OK</v>
      </c>
      <c r="Z184" s="2" t="str">
        <f ca="1">IF(NPS_Data[[#This Row],[RemarkHash]]="","OK",
   IF(COUNTIF(NPS_Data[RemarkHash],NPS_Data[[#This Row],[RemarkHash]])&gt;1,"RepeatedRemark","OK"))</f>
        <v>RepeatedRemark</v>
      </c>
      <c r="AA184" s="17">
        <f>IF( AND( ISNUMBER(NPS_Data[[#This Row],[CreatedDateTime]]), ISNUMBER(NPS_Data[[#This Row],[ResolvedDateTime]]) ), (NPS_Data[[#This Row],[ResolvedDateTime]] - NPS_Data[[#This Row],[CreatedDateTime]]) * 24, 0 )</f>
        <v>0</v>
      </c>
      <c r="AB184" s="65" t="str">
        <f>IF(NOT(ISNA(NPS_Data[[#This Row],[CreatedDateTime]])),
   YEAR(NPS_Data[[#This Row],[CreatedDateTime]]) &amp; "-" &amp; TEXT(WEEKNUM(NPS_Data[[#This Row],[CreatedDateTime]],2),"00"),
   "")</f>
        <v>2025-38</v>
      </c>
      <c r="AC184" s="14" t="str">
        <f>IF(NOT(ISNA(NPS_Data[[#This Row],[CreatedDateTime]])), TEXT(NPS_Data[[#This Row],[CreatedDateTime]],"YYYY-MM"), "")</f>
        <v>2025-09</v>
      </c>
      <c r="AD184" s="14" t="str">
        <f>IF(NOT(ISNUMBER(NPS_Data[[#This Row],[ResolutionHours]])),"Open", IF(NPS_Data[[#This Row],[ResolutionHours]]&gt;72,"Breach","OK"))</f>
        <v>OK</v>
      </c>
      <c r="AE184" s="14">
        <f>IF(AND(ISNUMBER(NPS_Data[[#This Row],[CreatedDateTime]]), ISNUMBER(NPS_Data[[#This Row],[ResolvedDateTime]])), 1, 0)</f>
        <v>0</v>
      </c>
      <c r="AF184" s="48" t="str">
        <f>IF(NOT(ISNA(NPS_Data[[#This Row],[CreatedDateTime]])), TEXT(NPS_Data[[#This Row],[CreatedDateTime]],"dddd"), "")</f>
        <v>Tuesday</v>
      </c>
    </row>
    <row r="185" spans="1:32" x14ac:dyDescent="0.25">
      <c r="A185" s="2" t="s">
        <v>1065</v>
      </c>
      <c r="B185" s="2" t="s">
        <v>513</v>
      </c>
      <c r="C185" s="2" t="s">
        <v>1066</v>
      </c>
      <c r="D18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45893.780393518522</v>
      </c>
      <c r="E185" s="2" t="s">
        <v>20</v>
      </c>
      <c r="F185" s="2" t="s">
        <v>78</v>
      </c>
      <c r="G185" s="2" t="s">
        <v>1067</v>
      </c>
      <c r="H185"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45903.474421296298</v>
      </c>
      <c r="I185" s="2" t="s">
        <v>23</v>
      </c>
      <c r="J185" s="2" t="s">
        <v>23</v>
      </c>
      <c r="K185" s="2" t="s">
        <v>38</v>
      </c>
      <c r="L185" s="2" t="s">
        <v>1068</v>
      </c>
      <c r="M185" s="2" t="s">
        <v>1069</v>
      </c>
      <c r="N185" s="2" t="s">
        <v>639</v>
      </c>
      <c r="O185" s="2" t="s">
        <v>48</v>
      </c>
      <c r="P185" s="2" t="s">
        <v>585</v>
      </c>
      <c r="Q185" s="3">
        <v>8</v>
      </c>
      <c r="R185" s="2" t="s">
        <v>30</v>
      </c>
      <c r="S185" s="2" t="s">
        <v>31</v>
      </c>
      <c r="T185" s="2" t="str">
        <f>IF(OR(NPS_Data[[#This Row],[CreatedDateTime]]="",NPS_Data[[#This Row],[Assigned To]]="",NPS_Data[[#This Row],[Issue 2 - NPS]]="",NPS_Data[[#This Row],[Program Name]]=""),"Missing","OK")</f>
        <v>OK</v>
      </c>
      <c r="U185" s="2" t="str">
        <f>IF(
  AND(NPS_Data[[#This Row],[Status]]="Complete", OR(ISNA(NPS_Data[[#This Row],[ResolvedDateTime]]), ISBLANK(NPS_Data[[#This Row],[ResolvedDateTime]]))),
  "CompleteNoResolved",
  IF(
    AND(NPS_Data[[#This Row],[Status]]="Pending", NPS_Data[[#This Row],[Sub Status]]="Solved"),
    "PendingButSolved",
    "OK"
  )
)</f>
        <v>OK</v>
      </c>
      <c r="V18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85" s="2" t="str">
        <f>IFERROR(TRIM(CLEAN(NPS_Data[[#This Row],[Ticket All Remarks]])),"")</f>
        <v>Screen sharing resolution too low during coding sessions. Can't read code examples on mobile device. Zoom compression makes text blurry. || Resolution: Upgraded streaming quality to 1080p and optimized for mobile viewing</v>
      </c>
      <c r="X185" s="2" cm="1">
        <f t="array" aca="1" ref="X185" ca="1">IF(NPS_Data[[#This Row],[CleanRemark]]="","",
   SUMPRODUCT(CODE(MID(NPS_Data[[#This Row],[CleanRemark]],ROW(INDIRECT("1:"&amp;LEN(NPS_Data[[#This Row],[CleanRemark]]))),1))))</f>
        <v>20792</v>
      </c>
      <c r="Y185" s="2" t="str">
        <f>IF(COUNTIF(NPS_Data[Ticket No],NPS_Data[[#This Row],[Ticket No]])&gt;1,"Duplicate","OK")</f>
        <v>OK</v>
      </c>
      <c r="Z185" s="2" t="str">
        <f ca="1">IF(NPS_Data[[#This Row],[RemarkHash]]="","OK",
   IF(COUNTIF(NPS_Data[RemarkHash],NPS_Data[[#This Row],[RemarkHash]])&gt;1,"RepeatedRemark","OK"))</f>
        <v>RepeatedRemark</v>
      </c>
      <c r="AA185" s="17">
        <f>IF( AND( ISNUMBER(NPS_Data[[#This Row],[CreatedDateTime]]), ISNUMBER(NPS_Data[[#This Row],[ResolvedDateTime]]) ), (NPS_Data[[#This Row],[ResolvedDateTime]] - NPS_Data[[#This Row],[CreatedDateTime]]) * 24, 0 )</f>
        <v>232.65666666661855</v>
      </c>
      <c r="AB185" s="65" t="str">
        <f>IF(NOT(ISNA(NPS_Data[[#This Row],[CreatedDateTime]])),
   YEAR(NPS_Data[[#This Row],[CreatedDateTime]]) &amp; "-" &amp; TEXT(WEEKNUM(NPS_Data[[#This Row],[CreatedDateTime]],2),"00"),
   "")</f>
        <v>2025-34</v>
      </c>
      <c r="AC185" s="14" t="str">
        <f>IF(NOT(ISNA(NPS_Data[[#This Row],[CreatedDateTime]])), TEXT(NPS_Data[[#This Row],[CreatedDateTime]],"YYYY-MM"), "")</f>
        <v>2025-08</v>
      </c>
      <c r="AD185" s="14" t="str">
        <f>IF(NOT(ISNUMBER(NPS_Data[[#This Row],[ResolutionHours]])),"Open", IF(NPS_Data[[#This Row],[ResolutionHours]]&gt;72,"Breach","OK"))</f>
        <v>Breach</v>
      </c>
      <c r="AE185" s="14">
        <f>IF(AND(ISNUMBER(NPS_Data[[#This Row],[CreatedDateTime]]), ISNUMBER(NPS_Data[[#This Row],[ResolvedDateTime]])), 1, 0)</f>
        <v>1</v>
      </c>
      <c r="AF185" s="48" t="str">
        <f>IF(NOT(ISNA(NPS_Data[[#This Row],[CreatedDateTime]])), TEXT(NPS_Data[[#This Row],[CreatedDateTime]],"dddd"), "")</f>
        <v>Sunday</v>
      </c>
    </row>
    <row r="186" spans="1:32" x14ac:dyDescent="0.25">
      <c r="A186" s="2" t="s">
        <v>1070</v>
      </c>
      <c r="B186" s="2" t="s">
        <v>191</v>
      </c>
      <c r="C186" s="2" t="s">
        <v>1071</v>
      </c>
      <c r="D18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45900.866446759261</v>
      </c>
      <c r="E186" s="2" t="s">
        <v>104</v>
      </c>
      <c r="F186" s="2" t="s">
        <v>78</v>
      </c>
      <c r="G186" s="2" t="s">
        <v>1072</v>
      </c>
      <c r="H186"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45903.499930555554</v>
      </c>
      <c r="I186" s="2" t="s">
        <v>23</v>
      </c>
      <c r="J186" s="2" t="s">
        <v>23</v>
      </c>
      <c r="K186" s="2" t="s">
        <v>38</v>
      </c>
      <c r="L186" s="2" t="s">
        <v>1073</v>
      </c>
      <c r="M186" s="2" t="s">
        <v>1074</v>
      </c>
      <c r="N186" s="2" t="s">
        <v>1075</v>
      </c>
      <c r="O186" s="2" t="s">
        <v>28</v>
      </c>
      <c r="P186" s="2" t="s">
        <v>158</v>
      </c>
      <c r="Q186" s="3">
        <v>5</v>
      </c>
      <c r="R186" s="2" t="s">
        <v>30</v>
      </c>
      <c r="S186" s="2" t="s">
        <v>31</v>
      </c>
      <c r="T186" s="2" t="str">
        <f>IF(OR(NPS_Data[[#This Row],[CreatedDateTime]]="",NPS_Data[[#This Row],[Assigned To]]="",NPS_Data[[#This Row],[Issue 2 - NPS]]="",NPS_Data[[#This Row],[Program Name]]=""),"Missing","OK")</f>
        <v>OK</v>
      </c>
      <c r="U186" s="2" t="str">
        <f>IF(
  AND(NPS_Data[[#This Row],[Status]]="Complete", OR(ISNA(NPS_Data[[#This Row],[ResolvedDateTime]]), ISBLANK(NPS_Data[[#This Row],[ResolvedDateTime]]))),
  "CompleteNoResolved",
  IF(
    AND(NPS_Data[[#This Row],[Status]]="Pending", NPS_Data[[#This Row],[Sub Status]]="Solved"),
    "PendingButSolved",
    "OK"
  )
)</f>
        <v>OK</v>
      </c>
      <c r="V18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86" s="2" t="str">
        <f>IFERROR(TRIM(CLEAN(NPS_Data[[#This Row],[Ticket All Remarks]])),"")</f>
        <v>Weekend Academy Jul25 Beginner timing (10 AM - 2 PM) conflicts with family time. Children's activities and household responsibilities suffer due to class schedule. || Resolution: Created flexible weekend options with shorter session formats</v>
      </c>
      <c r="X186" s="2" cm="1">
        <f t="array" aca="1" ref="X186" ca="1">IF(NPS_Data[[#This Row],[CleanRemark]]="","",
   SUMPRODUCT(CODE(MID(NPS_Data[[#This Row],[CleanRemark]],ROW(INDIRECT("1:"&amp;LEN(NPS_Data[[#This Row],[CleanRemark]]))),1))))</f>
        <v>22285</v>
      </c>
      <c r="Y186" s="2" t="str">
        <f>IF(COUNTIF(NPS_Data[Ticket No],NPS_Data[[#This Row],[Ticket No]])&gt;1,"Duplicate","OK")</f>
        <v>OK</v>
      </c>
      <c r="Z186" s="2" t="str">
        <f ca="1">IF(NPS_Data[[#This Row],[RemarkHash]]="","OK",
   IF(COUNTIF(NPS_Data[RemarkHash],NPS_Data[[#This Row],[RemarkHash]])&gt;1,"RepeatedRemark","OK"))</f>
        <v>RepeatedRemark</v>
      </c>
      <c r="AA186" s="17">
        <f>IF( AND( ISNUMBER(NPS_Data[[#This Row],[CreatedDateTime]]), ISNUMBER(NPS_Data[[#This Row],[ResolvedDateTime]]) ), (NPS_Data[[#This Row],[ResolvedDateTime]] - NPS_Data[[#This Row],[CreatedDateTime]]) * 24, 0 )</f>
        <v>63.203611111035571</v>
      </c>
      <c r="AB186" s="65" t="str">
        <f>IF(NOT(ISNA(NPS_Data[[#This Row],[CreatedDateTime]])),
   YEAR(NPS_Data[[#This Row],[CreatedDateTime]]) &amp; "-" &amp; TEXT(WEEKNUM(NPS_Data[[#This Row],[CreatedDateTime]],2),"00"),
   "")</f>
        <v>2025-35</v>
      </c>
      <c r="AC186" s="14" t="str">
        <f>IF(NOT(ISNA(NPS_Data[[#This Row],[CreatedDateTime]])), TEXT(NPS_Data[[#This Row],[CreatedDateTime]],"YYYY-MM"), "")</f>
        <v>2025-08</v>
      </c>
      <c r="AD186" s="14" t="str">
        <f>IF(NOT(ISNUMBER(NPS_Data[[#This Row],[ResolutionHours]])),"Open", IF(NPS_Data[[#This Row],[ResolutionHours]]&gt;72,"Breach","OK"))</f>
        <v>OK</v>
      </c>
      <c r="AE186" s="14">
        <f>IF(AND(ISNUMBER(NPS_Data[[#This Row],[CreatedDateTime]]), ISNUMBER(NPS_Data[[#This Row],[ResolvedDateTime]])), 1, 0)</f>
        <v>1</v>
      </c>
      <c r="AF186" s="48" t="str">
        <f>IF(NOT(ISNA(NPS_Data[[#This Row],[CreatedDateTime]])), TEXT(NPS_Data[[#This Row],[CreatedDateTime]],"dddd"), "")</f>
        <v>Sunday</v>
      </c>
    </row>
    <row r="187" spans="1:32" x14ac:dyDescent="0.25">
      <c r="A187" s="2" t="s">
        <v>1076</v>
      </c>
      <c r="B187" s="2" t="s">
        <v>366</v>
      </c>
      <c r="C187" s="2" t="s">
        <v>1077</v>
      </c>
      <c r="D18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45887.738854166666</v>
      </c>
      <c r="E187" s="2" t="s">
        <v>71</v>
      </c>
      <c r="H187"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87" s="2" t="s">
        <v>23</v>
      </c>
      <c r="J187" s="2" t="s">
        <v>23</v>
      </c>
      <c r="K187" s="2" t="s">
        <v>88</v>
      </c>
      <c r="L187" s="2" t="s">
        <v>1078</v>
      </c>
      <c r="M187" s="2" t="s">
        <v>1079</v>
      </c>
      <c r="N187" s="2" t="s">
        <v>1080</v>
      </c>
      <c r="O187" s="2" t="s">
        <v>48</v>
      </c>
      <c r="P187" s="2" t="s">
        <v>92</v>
      </c>
      <c r="Q187" s="3">
        <v>7</v>
      </c>
      <c r="R187" s="2" t="s">
        <v>49</v>
      </c>
      <c r="S187" s="2" t="s">
        <v>50</v>
      </c>
      <c r="T187" s="2" t="str">
        <f>IF(OR(NPS_Data[[#This Row],[CreatedDateTime]]="",NPS_Data[[#This Row],[Assigned To]]="",NPS_Data[[#This Row],[Issue 2 - NPS]]="",NPS_Data[[#This Row],[Program Name]]=""),"Missing","OK")</f>
        <v>OK</v>
      </c>
      <c r="U187" s="2" t="str">
        <f>IF(
  AND(NPS_Data[[#This Row],[Status]]="Complete", OR(ISNA(NPS_Data[[#This Row],[ResolvedDateTime]]), ISBLANK(NPS_Data[[#This Row],[ResolvedDateTime]]))),
  "CompleteNoResolved",
  IF(
    AND(NPS_Data[[#This Row],[Status]]="Pending", NPS_Data[[#This Row],[Sub Status]]="Solved"),
    "PendingButSolved",
    "OK"
  )
)</f>
        <v>OK</v>
      </c>
      <c r="V18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87" s="2" t="str">
        <f>IFERROR(TRIM(CLEAN(NPS_Data[[#This Row],[Ticket All Remarks]])),"")</f>
        <v>Planning to relocate from Bangalore to Pune for family reasons. Unclear about job market, salary differences, and Ola options in Pune tech scene. || Resolution: Connected with local Pune-based mentors and provided market insights</v>
      </c>
      <c r="X187" s="2" cm="1">
        <f t="array" aca="1" ref="X187" ca="1">IF(NPS_Data[[#This Row],[CleanRemark]]="","",
   SUMPRODUCT(CODE(MID(NPS_Data[[#This Row],[CleanRemark]],ROW(INDIRECT("1:"&amp;LEN(NPS_Data[[#This Row],[CleanRemark]]))),1))))</f>
        <v>21486</v>
      </c>
      <c r="Y187" s="2" t="str">
        <f>IF(COUNTIF(NPS_Data[Ticket No],NPS_Data[[#This Row],[Ticket No]])&gt;1,"Duplicate","OK")</f>
        <v>OK</v>
      </c>
      <c r="Z187" s="2" t="str">
        <f ca="1">IF(NPS_Data[[#This Row],[RemarkHash]]="","OK",
   IF(COUNTIF(NPS_Data[RemarkHash],NPS_Data[[#This Row],[RemarkHash]])&gt;1,"RepeatedRemark","OK"))</f>
        <v>OK</v>
      </c>
      <c r="AA187" s="17">
        <f>IF( AND( ISNUMBER(NPS_Data[[#This Row],[CreatedDateTime]]), ISNUMBER(NPS_Data[[#This Row],[ResolvedDateTime]]) ), (NPS_Data[[#This Row],[ResolvedDateTime]] - NPS_Data[[#This Row],[CreatedDateTime]]) * 24, 0 )</f>
        <v>0</v>
      </c>
      <c r="AB187" s="65" t="str">
        <f>IF(NOT(ISNA(NPS_Data[[#This Row],[CreatedDateTime]])),
   YEAR(NPS_Data[[#This Row],[CreatedDateTime]]) &amp; "-" &amp; TEXT(WEEKNUM(NPS_Data[[#This Row],[CreatedDateTime]],2),"00"),
   "")</f>
        <v>2025-34</v>
      </c>
      <c r="AC187" s="14" t="str">
        <f>IF(NOT(ISNA(NPS_Data[[#This Row],[CreatedDateTime]])), TEXT(NPS_Data[[#This Row],[CreatedDateTime]],"YYYY-MM"), "")</f>
        <v>2025-08</v>
      </c>
      <c r="AD187" s="14" t="str">
        <f>IF(NOT(ISNUMBER(NPS_Data[[#This Row],[ResolutionHours]])),"Open", IF(NPS_Data[[#This Row],[ResolutionHours]]&gt;72,"Breach","OK"))</f>
        <v>OK</v>
      </c>
      <c r="AE187" s="14">
        <f>IF(AND(ISNUMBER(NPS_Data[[#This Row],[CreatedDateTime]]), ISNUMBER(NPS_Data[[#This Row],[ResolvedDateTime]])), 1, 0)</f>
        <v>0</v>
      </c>
      <c r="AF187" s="48" t="str">
        <f>IF(NOT(ISNA(NPS_Data[[#This Row],[CreatedDateTime]])), TEXT(NPS_Data[[#This Row],[CreatedDateTime]],"dddd"), "")</f>
        <v>Monday</v>
      </c>
    </row>
    <row r="188" spans="1:32" x14ac:dyDescent="0.25">
      <c r="A188" s="2" t="s">
        <v>1081</v>
      </c>
      <c r="B188" s="2" t="s">
        <v>343</v>
      </c>
      <c r="C188" s="2" t="s">
        <v>1082</v>
      </c>
      <c r="D18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45888.666932870372</v>
      </c>
      <c r="E188" s="2" t="s">
        <v>35</v>
      </c>
      <c r="H188"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88" s="2" t="s">
        <v>23</v>
      </c>
      <c r="J188" s="2" t="s">
        <v>23</v>
      </c>
      <c r="K188" s="2" t="s">
        <v>38</v>
      </c>
      <c r="L188" s="2" t="s">
        <v>1083</v>
      </c>
      <c r="M188" s="2" t="s">
        <v>1084</v>
      </c>
      <c r="N188" s="2" t="s">
        <v>686</v>
      </c>
      <c r="O188" s="2" t="s">
        <v>48</v>
      </c>
      <c r="P188" s="2" t="s">
        <v>216</v>
      </c>
      <c r="Q188" s="3">
        <v>4</v>
      </c>
      <c r="R188" s="2" t="s">
        <v>49</v>
      </c>
      <c r="S188" s="2" t="s">
        <v>116</v>
      </c>
      <c r="T188" s="2" t="str">
        <f>IF(OR(NPS_Data[[#This Row],[CreatedDateTime]]="",NPS_Data[[#This Row],[Assigned To]]="",NPS_Data[[#This Row],[Issue 2 - NPS]]="",NPS_Data[[#This Row],[Program Name]]=""),"Missing","OK")</f>
        <v>OK</v>
      </c>
      <c r="U188" s="2" t="str">
        <f>IF(
  AND(NPS_Data[[#This Row],[Status]]="Complete", OR(ISNA(NPS_Data[[#This Row],[ResolvedDateTime]]), ISBLANK(NPS_Data[[#This Row],[ResolvedDateTime]]))),
  "CompleteNoResolved",
  IF(
    AND(NPS_Data[[#This Row],[Status]]="Pending", NPS_Data[[#This Row],[Sub Status]]="Solved"),
    "PendingButSolved",
    "OK"
  )
)</f>
        <v>OK</v>
      </c>
      <c r="V18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88" s="2" t="str">
        <f>IFERROR(TRIM(CLEAN(NPS_Data[[#This Row],[Ticket All Remarks]])),"")</f>
        <v>Assigned mentor Priya Sharma unresponsive to career queries for 3+ weeks. Sent 7 messages about transitioning from manual testing to automation but zero replies. || Resolution: Reassigned to senior automation mentor and implemented response time SLA</v>
      </c>
      <c r="X188" s="2" cm="1">
        <f t="array" aca="1" ref="X188" ca="1">IF(NPS_Data[[#This Row],[CleanRemark]]="","",
   SUMPRODUCT(CODE(MID(NPS_Data[[#This Row],[CleanRemark]],ROW(INDIRECT("1:"&amp;LEN(NPS_Data[[#This Row],[CleanRemark]]))),1))))</f>
        <v>23745</v>
      </c>
      <c r="Y188" s="2" t="str">
        <f>IF(COUNTIF(NPS_Data[Ticket No],NPS_Data[[#This Row],[Ticket No]])&gt;1,"Duplicate","OK")</f>
        <v>OK</v>
      </c>
      <c r="Z188" s="2" t="str">
        <f ca="1">IF(NPS_Data[[#This Row],[RemarkHash]]="","OK",
   IF(COUNTIF(NPS_Data[RemarkHash],NPS_Data[[#This Row],[RemarkHash]])&gt;1,"RepeatedRemark","OK"))</f>
        <v>RepeatedRemark</v>
      </c>
      <c r="AA188" s="17">
        <f>IF( AND( ISNUMBER(NPS_Data[[#This Row],[CreatedDateTime]]), ISNUMBER(NPS_Data[[#This Row],[ResolvedDateTime]]) ), (NPS_Data[[#This Row],[ResolvedDateTime]] - NPS_Data[[#This Row],[CreatedDateTime]]) * 24, 0 )</f>
        <v>0</v>
      </c>
      <c r="AB188" s="65" t="str">
        <f>IF(NOT(ISNA(NPS_Data[[#This Row],[CreatedDateTime]])),
   YEAR(NPS_Data[[#This Row],[CreatedDateTime]]) &amp; "-" &amp; TEXT(WEEKNUM(NPS_Data[[#This Row],[CreatedDateTime]],2),"00"),
   "")</f>
        <v>2025-34</v>
      </c>
      <c r="AC188" s="14" t="str">
        <f>IF(NOT(ISNA(NPS_Data[[#This Row],[CreatedDateTime]])), TEXT(NPS_Data[[#This Row],[CreatedDateTime]],"YYYY-MM"), "")</f>
        <v>2025-08</v>
      </c>
      <c r="AD188" s="14" t="str">
        <f>IF(NOT(ISNUMBER(NPS_Data[[#This Row],[ResolutionHours]])),"Open", IF(NPS_Data[[#This Row],[ResolutionHours]]&gt;72,"Breach","OK"))</f>
        <v>OK</v>
      </c>
      <c r="AE188" s="14">
        <f>IF(AND(ISNUMBER(NPS_Data[[#This Row],[CreatedDateTime]]), ISNUMBER(NPS_Data[[#This Row],[ResolvedDateTime]])), 1, 0)</f>
        <v>0</v>
      </c>
      <c r="AF188" s="48" t="str">
        <f>IF(NOT(ISNA(NPS_Data[[#This Row],[CreatedDateTime]])), TEXT(NPS_Data[[#This Row],[CreatedDateTime]],"dddd"), "")</f>
        <v>Tuesday</v>
      </c>
    </row>
    <row r="189" spans="1:32" x14ac:dyDescent="0.25">
      <c r="A189" s="2" t="s">
        <v>1085</v>
      </c>
      <c r="B189" s="2" t="s">
        <v>513</v>
      </c>
      <c r="C189" s="2" t="s">
        <v>1086</v>
      </c>
      <c r="D18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45893.416273148148</v>
      </c>
      <c r="E189" s="2" t="s">
        <v>71</v>
      </c>
      <c r="F189" s="2" t="s">
        <v>94</v>
      </c>
      <c r="G189" s="2" t="s">
        <v>1087</v>
      </c>
      <c r="H189"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45901.532604166663</v>
      </c>
      <c r="I189" s="2" t="s">
        <v>23</v>
      </c>
      <c r="J189" s="2" t="s">
        <v>23</v>
      </c>
      <c r="K189" s="2" t="s">
        <v>88</v>
      </c>
      <c r="L189" s="2" t="s">
        <v>1088</v>
      </c>
      <c r="M189" s="2" t="s">
        <v>1089</v>
      </c>
      <c r="N189" s="2" t="s">
        <v>1090</v>
      </c>
      <c r="O189" s="2" t="s">
        <v>177</v>
      </c>
      <c r="P189" s="2" t="s">
        <v>132</v>
      </c>
      <c r="Q189" s="3">
        <v>2</v>
      </c>
      <c r="R189" s="2" t="s">
        <v>30</v>
      </c>
      <c r="S189" s="2" t="s">
        <v>31</v>
      </c>
      <c r="T189" s="2" t="str">
        <f>IF(OR(NPS_Data[[#This Row],[CreatedDateTime]]="",NPS_Data[[#This Row],[Assigned To]]="",NPS_Data[[#This Row],[Issue 2 - NPS]]="",NPS_Data[[#This Row],[Program Name]]=""),"Missing","OK")</f>
        <v>OK</v>
      </c>
      <c r="U189" s="2" t="str">
        <f>IF(
  AND(NPS_Data[[#This Row],[Status]]="Complete", OR(ISNA(NPS_Data[[#This Row],[ResolvedDateTime]]), ISBLANK(NPS_Data[[#This Row],[ResolvedDateTime]]))),
  "CompleteNoResolved",
  IF(
    AND(NPS_Data[[#This Row],[Status]]="Pending", NPS_Data[[#This Row],[Sub Status]]="Solved"),
    "PendingButSolved",
    "OK"
  )
)</f>
        <v>OK</v>
      </c>
      <c r="V18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89" s="2" t="str">
        <f>IFERROR(TRIM(CLEAN(NPS_Data[[#This Row],[Ticket All Remarks]])),"")</f>
        <v>Background verification issues due to previous Microsoft closure. Documentation unavailable but work experience legitimate and verifiable through colleagues. || Resolution: Created alternative verification process using professional references</v>
      </c>
      <c r="X189" s="2" cm="1">
        <f t="array" aca="1" ref="X189" ca="1">IF(NPS_Data[[#This Row],[CleanRemark]]="","",
   SUMPRODUCT(CODE(MID(NPS_Data[[#This Row],[CleanRemark]],ROW(INDIRECT("1:"&amp;LEN(NPS_Data[[#This Row],[CleanRemark]]))),1))))</f>
        <v>23890</v>
      </c>
      <c r="Y189" s="2" t="str">
        <f>IF(COUNTIF(NPS_Data[Ticket No],NPS_Data[[#This Row],[Ticket No]])&gt;1,"Duplicate","OK")</f>
        <v>OK</v>
      </c>
      <c r="Z189" s="2" t="str">
        <f ca="1">IF(NPS_Data[[#This Row],[RemarkHash]]="","OK",
   IF(COUNTIF(NPS_Data[RemarkHash],NPS_Data[[#This Row],[RemarkHash]])&gt;1,"RepeatedRemark","OK"))</f>
        <v>OK</v>
      </c>
      <c r="AA189" s="17">
        <f>IF( AND( ISNUMBER(NPS_Data[[#This Row],[CreatedDateTime]]), ISNUMBER(NPS_Data[[#This Row],[ResolvedDateTime]]) ), (NPS_Data[[#This Row],[ResolvedDateTime]] - NPS_Data[[#This Row],[CreatedDateTime]]) * 24, 0 )</f>
        <v>194.79194444435416</v>
      </c>
      <c r="AB189" s="65" t="str">
        <f>IF(NOT(ISNA(NPS_Data[[#This Row],[CreatedDateTime]])),
   YEAR(NPS_Data[[#This Row],[CreatedDateTime]]) &amp; "-" &amp; TEXT(WEEKNUM(NPS_Data[[#This Row],[CreatedDateTime]],2),"00"),
   "")</f>
        <v>2025-34</v>
      </c>
      <c r="AC189" s="14" t="str">
        <f>IF(NOT(ISNA(NPS_Data[[#This Row],[CreatedDateTime]])), TEXT(NPS_Data[[#This Row],[CreatedDateTime]],"YYYY-MM"), "")</f>
        <v>2025-08</v>
      </c>
      <c r="AD189" s="14" t="str">
        <f>IF(NOT(ISNUMBER(NPS_Data[[#This Row],[ResolutionHours]])),"Open", IF(NPS_Data[[#This Row],[ResolutionHours]]&gt;72,"Breach","OK"))</f>
        <v>Breach</v>
      </c>
      <c r="AE189" s="14">
        <f>IF(AND(ISNUMBER(NPS_Data[[#This Row],[CreatedDateTime]]), ISNUMBER(NPS_Data[[#This Row],[ResolvedDateTime]])), 1, 0)</f>
        <v>1</v>
      </c>
      <c r="AF189" s="48" t="str">
        <f>IF(NOT(ISNA(NPS_Data[[#This Row],[CreatedDateTime]])), TEXT(NPS_Data[[#This Row],[CreatedDateTime]],"dddd"), "")</f>
        <v>Sunday</v>
      </c>
    </row>
    <row r="190" spans="1:32" x14ac:dyDescent="0.25">
      <c r="A190" s="2" t="s">
        <v>1091</v>
      </c>
      <c r="B190" s="2" t="s">
        <v>211</v>
      </c>
      <c r="C190" s="2" t="s">
        <v>1092</v>
      </c>
      <c r="D19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45918.668854166666</v>
      </c>
      <c r="E190" s="2" t="s">
        <v>44</v>
      </c>
      <c r="F190" s="2" t="s">
        <v>1093</v>
      </c>
      <c r="G190" s="2" t="s">
        <v>1094</v>
      </c>
      <c r="H190"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45930.545983796299</v>
      </c>
      <c r="I190" s="2" t="s">
        <v>23</v>
      </c>
      <c r="J190" s="2" t="s">
        <v>23</v>
      </c>
      <c r="K190" s="2" t="s">
        <v>88</v>
      </c>
      <c r="L190" s="2" t="s">
        <v>1095</v>
      </c>
      <c r="M190" s="2" t="s">
        <v>1096</v>
      </c>
      <c r="N190" s="2" t="s">
        <v>188</v>
      </c>
      <c r="O190" s="2" t="s">
        <v>177</v>
      </c>
      <c r="P190" s="2" t="s">
        <v>189</v>
      </c>
      <c r="Q190" s="3">
        <v>2</v>
      </c>
      <c r="R190" s="2" t="s">
        <v>30</v>
      </c>
      <c r="S190" s="2" t="s">
        <v>31</v>
      </c>
      <c r="T190" s="2" t="str">
        <f>IF(OR(NPS_Data[[#This Row],[CreatedDateTime]]="",NPS_Data[[#This Row],[Assigned To]]="",NPS_Data[[#This Row],[Issue 2 - NPS]]="",NPS_Data[[#This Row],[Program Name]]=""),"Missing","OK")</f>
        <v>OK</v>
      </c>
      <c r="U190" s="2" t="str">
        <f>IF(
  AND(NPS_Data[[#This Row],[Status]]="Complete", OR(ISNA(NPS_Data[[#This Row],[ResolvedDateTime]]), ISBLANK(NPS_Data[[#This Row],[ResolvedDateTime]]))),
  "CompleteNoResolved",
  IF(
    AND(NPS_Data[[#This Row],[Status]]="Pending", NPS_Data[[#This Row],[Sub Status]]="Solved"),
    "PendingButSolved",
    "OK"
  )
)</f>
        <v>OK</v>
      </c>
      <c r="V19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90" s="2" t="str">
        <f>IFERROR(TRIM(CLEAN(NPS_Data[[#This Row],[Ticket All Remarks]])),"")</f>
        <v>Multiple interview rounds cleared but final selection goes to internal referrals. External candidates seem disadvantaged despite equal performance. || Resolution: Expanded alumni network for referral opportunities and insider advocacy</v>
      </c>
      <c r="X190" s="2" cm="1">
        <f t="array" aca="1" ref="X190" ca="1">IF(NPS_Data[[#This Row],[CleanRemark]]="","",
   SUMPRODUCT(CODE(MID(NPS_Data[[#This Row],[CleanRemark]],ROW(INDIRECT("1:"&amp;LEN(NPS_Data[[#This Row],[CleanRemark]]))),1))))</f>
        <v>22764</v>
      </c>
      <c r="Y190" s="2" t="str">
        <f>IF(COUNTIF(NPS_Data[Ticket No],NPS_Data[[#This Row],[Ticket No]])&gt;1,"Duplicate","OK")</f>
        <v>OK</v>
      </c>
      <c r="Z190" s="2" t="str">
        <f ca="1">IF(NPS_Data[[#This Row],[RemarkHash]]="","OK",
   IF(COUNTIF(NPS_Data[RemarkHash],NPS_Data[[#This Row],[RemarkHash]])&gt;1,"RepeatedRemark","OK"))</f>
        <v>RepeatedRemark</v>
      </c>
      <c r="AA190" s="17">
        <f>IF( AND( ISNUMBER(NPS_Data[[#This Row],[CreatedDateTime]]), ISNUMBER(NPS_Data[[#This Row],[ResolvedDateTime]]) ), (NPS_Data[[#This Row],[ResolvedDateTime]] - NPS_Data[[#This Row],[CreatedDateTime]]) * 24, 0 )</f>
        <v>285.05111111118458</v>
      </c>
      <c r="AB190" s="65" t="str">
        <f>IF(NOT(ISNA(NPS_Data[[#This Row],[CreatedDateTime]])),
   YEAR(NPS_Data[[#This Row],[CreatedDateTime]]) &amp; "-" &amp; TEXT(WEEKNUM(NPS_Data[[#This Row],[CreatedDateTime]],2),"00"),
   "")</f>
        <v>2025-38</v>
      </c>
      <c r="AC190" s="14" t="str">
        <f>IF(NOT(ISNA(NPS_Data[[#This Row],[CreatedDateTime]])), TEXT(NPS_Data[[#This Row],[CreatedDateTime]],"YYYY-MM"), "")</f>
        <v>2025-09</v>
      </c>
      <c r="AD190" s="14" t="str">
        <f>IF(NOT(ISNUMBER(NPS_Data[[#This Row],[ResolutionHours]])),"Open", IF(NPS_Data[[#This Row],[ResolutionHours]]&gt;72,"Breach","OK"))</f>
        <v>Breach</v>
      </c>
      <c r="AE190" s="14">
        <f>IF(AND(ISNUMBER(NPS_Data[[#This Row],[CreatedDateTime]]), ISNUMBER(NPS_Data[[#This Row],[ResolvedDateTime]])), 1, 0)</f>
        <v>1</v>
      </c>
      <c r="AF190" s="48" t="str">
        <f>IF(NOT(ISNA(NPS_Data[[#This Row],[CreatedDateTime]])), TEXT(NPS_Data[[#This Row],[CreatedDateTime]],"dddd"), "")</f>
        <v>Thursday</v>
      </c>
    </row>
    <row r="191" spans="1:32" x14ac:dyDescent="0.25">
      <c r="A191" s="2" t="s">
        <v>1097</v>
      </c>
      <c r="B191" s="2" t="s">
        <v>513</v>
      </c>
      <c r="C191" s="2" t="s">
        <v>1098</v>
      </c>
      <c r="D19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45893.442777777775</v>
      </c>
      <c r="E191" s="2" t="s">
        <v>71</v>
      </c>
      <c r="F191" s="2" t="s">
        <v>257</v>
      </c>
      <c r="G191" s="2" t="s">
        <v>1099</v>
      </c>
      <c r="H191"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45905.442430555559</v>
      </c>
      <c r="I191" s="2" t="s">
        <v>23</v>
      </c>
      <c r="J191" s="2" t="s">
        <v>23</v>
      </c>
      <c r="K191" s="2" t="s">
        <v>38</v>
      </c>
      <c r="L191" s="2" t="s">
        <v>1100</v>
      </c>
      <c r="M191" s="2" t="s">
        <v>1101</v>
      </c>
      <c r="N191" s="2" t="s">
        <v>1102</v>
      </c>
      <c r="O191" s="2" t="s">
        <v>177</v>
      </c>
      <c r="P191" s="2" t="s">
        <v>148</v>
      </c>
      <c r="Q191" s="3">
        <v>8</v>
      </c>
      <c r="R191" s="2" t="s">
        <v>30</v>
      </c>
      <c r="S191" s="2" t="s">
        <v>31</v>
      </c>
      <c r="T191" s="2" t="str">
        <f>IF(OR(NPS_Data[[#This Row],[CreatedDateTime]]="",NPS_Data[[#This Row],[Assigned To]]="",NPS_Data[[#This Row],[Issue 2 - NPS]]="",NPS_Data[[#This Row],[Program Name]]=""),"Missing","OK")</f>
        <v>OK</v>
      </c>
      <c r="U191" s="2" t="str">
        <f>IF(
  AND(NPS_Data[[#This Row],[Status]]="Complete", OR(ISNA(NPS_Data[[#This Row],[ResolvedDateTime]]), ISBLANK(NPS_Data[[#This Row],[ResolvedDateTime]]))),
  "CompleteNoResolved",
  IF(
    AND(NPS_Data[[#This Row],[Status]]="Pending", NPS_Data[[#This Row],[Sub Status]]="Solved"),
    "PendingButSolved",
    "OK"
  )
)</f>
        <v>OK</v>
      </c>
      <c r="V19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91" s="2" t="str">
        <f>IFERROR(TRIM(CLEAN(NPS_Data[[#This Row],[Ticket All Remarks]])),"")</f>
        <v>Priya Patel rushes through Python concepts without checking student understanding. Covers list comprehensions, decorators, and generators in single session. No time for practice exercises. || Resolution: Restructured curriculum to allocate more time per concept</v>
      </c>
      <c r="X191" s="2" cm="1">
        <f t="array" aca="1" ref="X191" ca="1">IF(NPS_Data[[#This Row],[CleanRemark]]="","",
   SUMPRODUCT(CODE(MID(NPS_Data[[#This Row],[CleanRemark]],ROW(INDIRECT("1:"&amp;LEN(NPS_Data[[#This Row],[CleanRemark]]))),1))))</f>
        <v>25252</v>
      </c>
      <c r="Y191" s="2" t="str">
        <f>IF(COUNTIF(NPS_Data[Ticket No],NPS_Data[[#This Row],[Ticket No]])&gt;1,"Duplicate","OK")</f>
        <v>OK</v>
      </c>
      <c r="Z191" s="2" t="str">
        <f ca="1">IF(NPS_Data[[#This Row],[RemarkHash]]="","OK",
   IF(COUNTIF(NPS_Data[RemarkHash],NPS_Data[[#This Row],[RemarkHash]])&gt;1,"RepeatedRemark","OK"))</f>
        <v>RepeatedRemark</v>
      </c>
      <c r="AA191" s="17">
        <f>IF( AND( ISNUMBER(NPS_Data[[#This Row],[CreatedDateTime]]), ISNUMBER(NPS_Data[[#This Row],[ResolvedDateTime]]) ), (NPS_Data[[#This Row],[ResolvedDateTime]] - NPS_Data[[#This Row],[CreatedDateTime]]) * 24, 0 )</f>
        <v>287.99166666681413</v>
      </c>
      <c r="AB191" s="65" t="str">
        <f>IF(NOT(ISNA(NPS_Data[[#This Row],[CreatedDateTime]])),
   YEAR(NPS_Data[[#This Row],[CreatedDateTime]]) &amp; "-" &amp; TEXT(WEEKNUM(NPS_Data[[#This Row],[CreatedDateTime]],2),"00"),
   "")</f>
        <v>2025-34</v>
      </c>
      <c r="AC191" s="14" t="str">
        <f>IF(NOT(ISNA(NPS_Data[[#This Row],[CreatedDateTime]])), TEXT(NPS_Data[[#This Row],[CreatedDateTime]],"YYYY-MM"), "")</f>
        <v>2025-08</v>
      </c>
      <c r="AD191" s="14" t="str">
        <f>IF(NOT(ISNUMBER(NPS_Data[[#This Row],[ResolutionHours]])),"Open", IF(NPS_Data[[#This Row],[ResolutionHours]]&gt;72,"Breach","OK"))</f>
        <v>Breach</v>
      </c>
      <c r="AE191" s="14">
        <f>IF(AND(ISNUMBER(NPS_Data[[#This Row],[CreatedDateTime]]), ISNUMBER(NPS_Data[[#This Row],[ResolvedDateTime]])), 1, 0)</f>
        <v>1</v>
      </c>
      <c r="AF191" s="48" t="str">
        <f>IF(NOT(ISNA(NPS_Data[[#This Row],[CreatedDateTime]])), TEXT(NPS_Data[[#This Row],[CreatedDateTime]],"dddd"), "")</f>
        <v>Sunday</v>
      </c>
    </row>
    <row r="192" spans="1:32" x14ac:dyDescent="0.25">
      <c r="A192" s="2" t="s">
        <v>1103</v>
      </c>
      <c r="B192" s="2" t="s">
        <v>299</v>
      </c>
      <c r="C192" s="2" t="s">
        <v>1104</v>
      </c>
      <c r="D19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45890.67863425926</v>
      </c>
      <c r="E192" s="2" t="s">
        <v>20</v>
      </c>
      <c r="H192"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92" s="2" t="s">
        <v>23</v>
      </c>
      <c r="J192" s="2" t="s">
        <v>23</v>
      </c>
      <c r="K192" s="2" t="s">
        <v>38</v>
      </c>
      <c r="L192" s="2" t="s">
        <v>1105</v>
      </c>
      <c r="M192" s="2" t="s">
        <v>1106</v>
      </c>
      <c r="N192" s="2" t="s">
        <v>639</v>
      </c>
      <c r="O192" s="2" t="s">
        <v>48</v>
      </c>
      <c r="P192" s="2" t="s">
        <v>585</v>
      </c>
      <c r="Q192" s="3">
        <v>6</v>
      </c>
      <c r="R192" s="2" t="s">
        <v>49</v>
      </c>
      <c r="S192" s="2" t="s">
        <v>116</v>
      </c>
      <c r="T192" s="2" t="str">
        <f>IF(OR(NPS_Data[[#This Row],[CreatedDateTime]]="",NPS_Data[[#This Row],[Assigned To]]="",NPS_Data[[#This Row],[Issue 2 - NPS]]="",NPS_Data[[#This Row],[Program Name]]=""),"Missing","OK")</f>
        <v>OK</v>
      </c>
      <c r="U192" s="2" t="str">
        <f>IF(
  AND(NPS_Data[[#This Row],[Status]]="Complete", OR(ISNA(NPS_Data[[#This Row],[ResolvedDateTime]]), ISBLANK(NPS_Data[[#This Row],[ResolvedDateTime]]))),
  "CompleteNoResolved",
  IF(
    AND(NPS_Data[[#This Row],[Status]]="Pending", NPS_Data[[#This Row],[Sub Status]]="Solved"),
    "PendingButSolved",
    "OK"
  )
)</f>
        <v>OK</v>
      </c>
      <c r="V19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92" s="2" t="str">
        <f>IFERROR(TRIM(CLEAN(NPS_Data[[#This Row],[Ticket All Remarks]])),"")</f>
        <v>Screen sharing resolution too low during coding sessions. Can't read code examples on mobile device. Zoom compression makes text blurry. || Resolution: Upgraded streaming quality to 1080p and optimized for mobile viewing</v>
      </c>
      <c r="X192" s="2" cm="1">
        <f t="array" aca="1" ref="X192" ca="1">IF(NPS_Data[[#This Row],[CleanRemark]]="","",
   SUMPRODUCT(CODE(MID(NPS_Data[[#This Row],[CleanRemark]],ROW(INDIRECT("1:"&amp;LEN(NPS_Data[[#This Row],[CleanRemark]]))),1))))</f>
        <v>20792</v>
      </c>
      <c r="Y192" s="2" t="str">
        <f>IF(COUNTIF(NPS_Data[Ticket No],NPS_Data[[#This Row],[Ticket No]])&gt;1,"Duplicate","OK")</f>
        <v>OK</v>
      </c>
      <c r="Z192" s="2" t="str">
        <f ca="1">IF(NPS_Data[[#This Row],[RemarkHash]]="","OK",
   IF(COUNTIF(NPS_Data[RemarkHash],NPS_Data[[#This Row],[RemarkHash]])&gt;1,"RepeatedRemark","OK"))</f>
        <v>RepeatedRemark</v>
      </c>
      <c r="AA192" s="17">
        <f>IF( AND( ISNUMBER(NPS_Data[[#This Row],[CreatedDateTime]]), ISNUMBER(NPS_Data[[#This Row],[ResolvedDateTime]]) ), (NPS_Data[[#This Row],[ResolvedDateTime]] - NPS_Data[[#This Row],[CreatedDateTime]]) * 24, 0 )</f>
        <v>0</v>
      </c>
      <c r="AB192" s="65" t="str">
        <f>IF(NOT(ISNA(NPS_Data[[#This Row],[CreatedDateTime]])),
   YEAR(NPS_Data[[#This Row],[CreatedDateTime]]) &amp; "-" &amp; TEXT(WEEKNUM(NPS_Data[[#This Row],[CreatedDateTime]],2),"00"),
   "")</f>
        <v>2025-34</v>
      </c>
      <c r="AC192" s="14" t="str">
        <f>IF(NOT(ISNA(NPS_Data[[#This Row],[CreatedDateTime]])), TEXT(NPS_Data[[#This Row],[CreatedDateTime]],"YYYY-MM"), "")</f>
        <v>2025-08</v>
      </c>
      <c r="AD192" s="14" t="str">
        <f>IF(NOT(ISNUMBER(NPS_Data[[#This Row],[ResolutionHours]])),"Open", IF(NPS_Data[[#This Row],[ResolutionHours]]&gt;72,"Breach","OK"))</f>
        <v>OK</v>
      </c>
      <c r="AE192" s="14">
        <f>IF(AND(ISNUMBER(NPS_Data[[#This Row],[CreatedDateTime]]), ISNUMBER(NPS_Data[[#This Row],[ResolvedDateTime]])), 1, 0)</f>
        <v>0</v>
      </c>
      <c r="AF192" s="48" t="str">
        <f>IF(NOT(ISNA(NPS_Data[[#This Row],[CreatedDateTime]])), TEXT(NPS_Data[[#This Row],[CreatedDateTime]],"dddd"), "")</f>
        <v>Thursday</v>
      </c>
    </row>
    <row r="193" spans="1:32" x14ac:dyDescent="0.25">
      <c r="A193" s="2" t="s">
        <v>1107</v>
      </c>
      <c r="B193" s="2" t="s">
        <v>301</v>
      </c>
      <c r="C193" s="2" t="s">
        <v>1108</v>
      </c>
      <c r="D19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45898.561990740738</v>
      </c>
      <c r="E193" s="2" t="s">
        <v>20</v>
      </c>
      <c r="F193" s="2" t="s">
        <v>257</v>
      </c>
      <c r="G193" s="2" t="s">
        <v>1109</v>
      </c>
      <c r="H193"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45905.440532407411</v>
      </c>
      <c r="I193" s="2" t="s">
        <v>23</v>
      </c>
      <c r="J193" s="2" t="s">
        <v>23</v>
      </c>
      <c r="K193" s="2" t="s">
        <v>56</v>
      </c>
      <c r="L193" s="2" t="s">
        <v>1110</v>
      </c>
      <c r="M193" s="2" t="s">
        <v>1111</v>
      </c>
      <c r="N193" s="2" t="s">
        <v>670</v>
      </c>
      <c r="O193" s="2" t="s">
        <v>177</v>
      </c>
      <c r="P193" s="2" t="s">
        <v>60</v>
      </c>
      <c r="Q193" s="3">
        <v>3</v>
      </c>
      <c r="R193" s="2" t="s">
        <v>30</v>
      </c>
      <c r="S193" s="2" t="s">
        <v>31</v>
      </c>
      <c r="T193" s="2" t="str">
        <f>IF(OR(NPS_Data[[#This Row],[CreatedDateTime]]="",NPS_Data[[#This Row],[Assigned To]]="",NPS_Data[[#This Row],[Issue 2 - NPS]]="",NPS_Data[[#This Row],[Program Name]]=""),"Missing","OK")</f>
        <v>OK</v>
      </c>
      <c r="U193" s="2" t="str">
        <f>IF(
  AND(NPS_Data[[#This Row],[Status]]="Complete", OR(ISNA(NPS_Data[[#This Row],[ResolvedDateTime]]), ISBLANK(NPS_Data[[#This Row],[ResolvedDateTime]]))),
  "CompleteNoResolved",
  IF(
    AND(NPS_Data[[#This Row],[Status]]="Pending", NPS_Data[[#This Row],[Sub Status]]="Solved"),
    "PendingButSolved",
    "OK"
  )
)</f>
        <v>OK</v>
      </c>
      <c r="V19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93" s="2" t="str">
        <f>IFERROR(TRIM(CLEAN(NPS_Data[[#This Row],[Ticket All Remarks]])),"")</f>
        <v>Weekend AIML sessions run 5 hours straight (10 AM - 3 PM) without proper breaks. Exhausting for working parents with family commitments on weekends. || Resolution: Restructured to 3-hour sessions with 30-minute breaks every 90 minutes</v>
      </c>
      <c r="X193" s="2" cm="1">
        <f t="array" aca="1" ref="X193" ca="1">IF(NPS_Data[[#This Row],[CleanRemark]]="","",
   SUMPRODUCT(CODE(MID(NPS_Data[[#This Row],[CleanRemark]],ROW(INDIRECT("1:"&amp;LEN(NPS_Data[[#This Row],[CleanRemark]]))),1))))</f>
        <v>21498</v>
      </c>
      <c r="Y193" s="2" t="str">
        <f>IF(COUNTIF(NPS_Data[Ticket No],NPS_Data[[#This Row],[Ticket No]])&gt;1,"Duplicate","OK")</f>
        <v>OK</v>
      </c>
      <c r="Z193" s="2" t="str">
        <f ca="1">IF(NPS_Data[[#This Row],[RemarkHash]]="","OK",
   IF(COUNTIF(NPS_Data[RemarkHash],NPS_Data[[#This Row],[RemarkHash]])&gt;1,"RepeatedRemark","OK"))</f>
        <v>RepeatedRemark</v>
      </c>
      <c r="AA193" s="17">
        <f>IF( AND( ISNUMBER(NPS_Data[[#This Row],[CreatedDateTime]]), ISNUMBER(NPS_Data[[#This Row],[ResolvedDateTime]]) ), (NPS_Data[[#This Row],[ResolvedDateTime]] - NPS_Data[[#This Row],[CreatedDateTime]]) * 24, 0 )</f>
        <v>165.08500000013737</v>
      </c>
      <c r="AB193" s="65" t="str">
        <f>IF(NOT(ISNA(NPS_Data[[#This Row],[CreatedDateTime]])),
   YEAR(NPS_Data[[#This Row],[CreatedDateTime]]) &amp; "-" &amp; TEXT(WEEKNUM(NPS_Data[[#This Row],[CreatedDateTime]],2),"00"),
   "")</f>
        <v>2025-35</v>
      </c>
      <c r="AC193" s="14" t="str">
        <f>IF(NOT(ISNA(NPS_Data[[#This Row],[CreatedDateTime]])), TEXT(NPS_Data[[#This Row],[CreatedDateTime]],"YYYY-MM"), "")</f>
        <v>2025-08</v>
      </c>
      <c r="AD193" s="14" t="str">
        <f>IF(NOT(ISNUMBER(NPS_Data[[#This Row],[ResolutionHours]])),"Open", IF(NPS_Data[[#This Row],[ResolutionHours]]&gt;72,"Breach","OK"))</f>
        <v>Breach</v>
      </c>
      <c r="AE193" s="14">
        <f>IF(AND(ISNUMBER(NPS_Data[[#This Row],[CreatedDateTime]]), ISNUMBER(NPS_Data[[#This Row],[ResolvedDateTime]])), 1, 0)</f>
        <v>1</v>
      </c>
      <c r="AF193" s="48" t="str">
        <f>IF(NOT(ISNA(NPS_Data[[#This Row],[CreatedDateTime]])), TEXT(NPS_Data[[#This Row],[CreatedDateTime]],"dddd"), "")</f>
        <v>Friday</v>
      </c>
    </row>
    <row r="194" spans="1:32" x14ac:dyDescent="0.25">
      <c r="A194" s="2" t="s">
        <v>1112</v>
      </c>
      <c r="B194" s="2" t="s">
        <v>267</v>
      </c>
      <c r="C194" s="2" t="s">
        <v>1113</v>
      </c>
      <c r="D19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45879.577905092592</v>
      </c>
      <c r="E194" s="2" t="s">
        <v>71</v>
      </c>
      <c r="F194" s="2" t="s">
        <v>364</v>
      </c>
      <c r="G194" s="2" t="s">
        <v>1114</v>
      </c>
      <c r="H194"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45883.601064814815</v>
      </c>
      <c r="I194" s="2" t="s">
        <v>23</v>
      </c>
      <c r="J194" s="2" t="s">
        <v>23</v>
      </c>
      <c r="K194" s="2" t="s">
        <v>56</v>
      </c>
      <c r="L194" s="2" t="s">
        <v>1115</v>
      </c>
      <c r="M194" s="2" t="s">
        <v>1116</v>
      </c>
      <c r="N194" s="2" t="s">
        <v>1117</v>
      </c>
      <c r="O194" s="2" t="s">
        <v>28</v>
      </c>
      <c r="P194" s="2" t="s">
        <v>60</v>
      </c>
      <c r="Q194" s="3">
        <v>4</v>
      </c>
      <c r="R194" s="2" t="s">
        <v>30</v>
      </c>
      <c r="S194" s="2" t="s">
        <v>31</v>
      </c>
      <c r="T194" s="2" t="str">
        <f>IF(OR(NPS_Data[[#This Row],[CreatedDateTime]]="",NPS_Data[[#This Row],[Assigned To]]="",NPS_Data[[#This Row],[Issue 2 - NPS]]="",NPS_Data[[#This Row],[Program Name]]=""),"Missing","OK")</f>
        <v>OK</v>
      </c>
      <c r="U194" s="2" t="str">
        <f>IF(
  AND(NPS_Data[[#This Row],[Status]]="Complete", OR(ISNA(NPS_Data[[#This Row],[ResolvedDateTime]]), ISBLANK(NPS_Data[[#This Row],[ResolvedDateTime]]))),
  "CompleteNoResolved",
  IF(
    AND(NPS_Data[[#This Row],[Status]]="Pending", NPS_Data[[#This Row],[Sub Status]]="Solved"),
    "PendingButSolved",
    "OK"
  )
)</f>
        <v>OK</v>
      </c>
      <c r="V19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94" s="2" t="str">
        <f>IFERROR(TRIM(CLEAN(NPS_Data[[#This Row],[Ticket All Remarks]])),"")</f>
        <v>Academy DevOps Aug25 timing changes announced with 1-day notice. Difficult to reschedule work meetings and personal commitments on short notice. || Resolution: Implemented 1-week advance notice policy for any schedule changes</v>
      </c>
      <c r="X194" s="2" cm="1">
        <f t="array" aca="1" ref="X194" ca="1">IF(NPS_Data[[#This Row],[CleanRemark]]="","",
   SUMPRODUCT(CODE(MID(NPS_Data[[#This Row],[CleanRemark]],ROW(INDIRECT("1:"&amp;LEN(NPS_Data[[#This Row],[CleanRemark]]))),1))))</f>
        <v>21166</v>
      </c>
      <c r="Y194" s="2" t="str">
        <f>IF(COUNTIF(NPS_Data[Ticket No],NPS_Data[[#This Row],[Ticket No]])&gt;1,"Duplicate","OK")</f>
        <v>OK</v>
      </c>
      <c r="Z194" s="2" t="str">
        <f ca="1">IF(NPS_Data[[#This Row],[RemarkHash]]="","OK",
   IF(COUNTIF(NPS_Data[RemarkHash],NPS_Data[[#This Row],[RemarkHash]])&gt;1,"RepeatedRemark","OK"))</f>
        <v>OK</v>
      </c>
      <c r="AA194" s="17">
        <f>IF( AND( ISNUMBER(NPS_Data[[#This Row],[CreatedDateTime]]), ISNUMBER(NPS_Data[[#This Row],[ResolvedDateTime]]) ), (NPS_Data[[#This Row],[ResolvedDateTime]] - NPS_Data[[#This Row],[CreatedDateTime]]) * 24, 0 )</f>
        <v>96.555833333346527</v>
      </c>
      <c r="AB194" s="65" t="str">
        <f>IF(NOT(ISNA(NPS_Data[[#This Row],[CreatedDateTime]])),
   YEAR(NPS_Data[[#This Row],[CreatedDateTime]]) &amp; "-" &amp; TEXT(WEEKNUM(NPS_Data[[#This Row],[CreatedDateTime]],2),"00"),
   "")</f>
        <v>2025-32</v>
      </c>
      <c r="AC194" s="14" t="str">
        <f>IF(NOT(ISNA(NPS_Data[[#This Row],[CreatedDateTime]])), TEXT(NPS_Data[[#This Row],[CreatedDateTime]],"YYYY-MM"), "")</f>
        <v>2025-08</v>
      </c>
      <c r="AD194" s="14" t="str">
        <f>IF(NOT(ISNUMBER(NPS_Data[[#This Row],[ResolutionHours]])),"Open", IF(NPS_Data[[#This Row],[ResolutionHours]]&gt;72,"Breach","OK"))</f>
        <v>Breach</v>
      </c>
      <c r="AE194" s="14">
        <f>IF(AND(ISNUMBER(NPS_Data[[#This Row],[CreatedDateTime]]), ISNUMBER(NPS_Data[[#This Row],[ResolvedDateTime]])), 1, 0)</f>
        <v>1</v>
      </c>
      <c r="AF194" s="48" t="str">
        <f>IF(NOT(ISNA(NPS_Data[[#This Row],[CreatedDateTime]])), TEXT(NPS_Data[[#This Row],[CreatedDateTime]],"dddd"), "")</f>
        <v>Sunday</v>
      </c>
    </row>
    <row r="195" spans="1:32" x14ac:dyDescent="0.25">
      <c r="A195" s="2" t="s">
        <v>1118</v>
      </c>
      <c r="B195" s="2" t="s">
        <v>141</v>
      </c>
      <c r="C195" s="2" t="s">
        <v>1119</v>
      </c>
      <c r="D19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45885.467268518521</v>
      </c>
      <c r="E195" s="2" t="s">
        <v>104</v>
      </c>
      <c r="F195" s="2" t="s">
        <v>366</v>
      </c>
      <c r="G195" s="2" t="s">
        <v>1120</v>
      </c>
      <c r="H195"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45887.463194444441</v>
      </c>
      <c r="I195" s="2" t="s">
        <v>23</v>
      </c>
      <c r="J195" s="2" t="s">
        <v>23</v>
      </c>
      <c r="K195" s="2" t="s">
        <v>38</v>
      </c>
      <c r="L195" s="2" t="s">
        <v>1121</v>
      </c>
      <c r="M195" s="2" t="s">
        <v>1122</v>
      </c>
      <c r="N195" s="2" t="s">
        <v>284</v>
      </c>
      <c r="O195" s="2" t="s">
        <v>28</v>
      </c>
      <c r="P195" s="2" t="s">
        <v>285</v>
      </c>
      <c r="Q195" s="3">
        <v>7</v>
      </c>
      <c r="R195" s="2" t="s">
        <v>30</v>
      </c>
      <c r="S195" s="2" t="s">
        <v>31</v>
      </c>
      <c r="T195" s="2" t="str">
        <f>IF(OR(NPS_Data[[#This Row],[CreatedDateTime]]="",NPS_Data[[#This Row],[Assigned To]]="",NPS_Data[[#This Row],[Issue 2 - NPS]]="",NPS_Data[[#This Row],[Program Name]]=""),"Missing","OK")</f>
        <v>OK</v>
      </c>
      <c r="U195" s="2" t="str">
        <f>IF(
  AND(NPS_Data[[#This Row],[Status]]="Complete", OR(ISNA(NPS_Data[[#This Row],[ResolvedDateTime]]), ISBLANK(NPS_Data[[#This Row],[ResolvedDateTime]]))),
  "CompleteNoResolved",
  IF(
    AND(NPS_Data[[#This Row],[Status]]="Pending", NPS_Data[[#This Row],[Sub Status]]="Solved"),
    "PendingButSolved",
    "OK"
  )
)</f>
        <v>OK</v>
      </c>
      <c r="V19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95" s="2" t="str">
        <f>IFERROR(TRIM(CLEAN(NPS_Data[[#This Row],[Ticket All Remarks]])),"")</f>
        <v>Lecture slides contain only bullet points without detailed explanations. Need comprehensive notes for exam preparation and interview revision. || Resolution: Enhanced slides with detailed explanations and examples</v>
      </c>
      <c r="X195" s="2" cm="1">
        <f t="array" aca="1" ref="X195" ca="1">IF(NPS_Data[[#This Row],[CleanRemark]]="","",
   SUMPRODUCT(CODE(MID(NPS_Data[[#This Row],[CleanRemark]],ROW(INDIRECT("1:"&amp;LEN(NPS_Data[[#This Row],[CleanRemark]]))),1))))</f>
        <v>20736</v>
      </c>
      <c r="Y195" s="2" t="str">
        <f>IF(COUNTIF(NPS_Data[Ticket No],NPS_Data[[#This Row],[Ticket No]])&gt;1,"Duplicate","OK")</f>
        <v>OK</v>
      </c>
      <c r="Z195" s="2" t="str">
        <f ca="1">IF(NPS_Data[[#This Row],[RemarkHash]]="","OK",
   IF(COUNTIF(NPS_Data[RemarkHash],NPS_Data[[#This Row],[RemarkHash]])&gt;1,"RepeatedRemark","OK"))</f>
        <v>RepeatedRemark</v>
      </c>
      <c r="AA195" s="17">
        <f>IF( AND( ISNUMBER(NPS_Data[[#This Row],[CreatedDateTime]]), ISNUMBER(NPS_Data[[#This Row],[ResolvedDateTime]]) ), (NPS_Data[[#This Row],[ResolvedDateTime]] - NPS_Data[[#This Row],[CreatedDateTime]]) * 24, 0 )</f>
        <v>47.902222222066484</v>
      </c>
      <c r="AB195" s="65" t="str">
        <f>IF(NOT(ISNA(NPS_Data[[#This Row],[CreatedDateTime]])),
   YEAR(NPS_Data[[#This Row],[CreatedDateTime]]) &amp; "-" &amp; TEXT(WEEKNUM(NPS_Data[[#This Row],[CreatedDateTime]],2),"00"),
   "")</f>
        <v>2025-33</v>
      </c>
      <c r="AC195" s="14" t="str">
        <f>IF(NOT(ISNA(NPS_Data[[#This Row],[CreatedDateTime]])), TEXT(NPS_Data[[#This Row],[CreatedDateTime]],"YYYY-MM"), "")</f>
        <v>2025-08</v>
      </c>
      <c r="AD195" s="14" t="str">
        <f>IF(NOT(ISNUMBER(NPS_Data[[#This Row],[ResolutionHours]])),"Open", IF(NPS_Data[[#This Row],[ResolutionHours]]&gt;72,"Breach","OK"))</f>
        <v>OK</v>
      </c>
      <c r="AE195" s="14">
        <f>IF(AND(ISNUMBER(NPS_Data[[#This Row],[CreatedDateTime]]), ISNUMBER(NPS_Data[[#This Row],[ResolvedDateTime]])), 1, 0)</f>
        <v>1</v>
      </c>
      <c r="AF195" s="48" t="str">
        <f>IF(NOT(ISNA(NPS_Data[[#This Row],[CreatedDateTime]])), TEXT(NPS_Data[[#This Row],[CreatedDateTime]],"dddd"), "")</f>
        <v>Saturday</v>
      </c>
    </row>
    <row r="196" spans="1:32" x14ac:dyDescent="0.25">
      <c r="A196" s="2" t="s">
        <v>1123</v>
      </c>
      <c r="B196" s="2" t="s">
        <v>396</v>
      </c>
      <c r="C196" s="2" t="s">
        <v>1124</v>
      </c>
      <c r="D19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45874.456875000003</v>
      </c>
      <c r="E196" s="2" t="s">
        <v>167</v>
      </c>
      <c r="F196" s="2" t="s">
        <v>735</v>
      </c>
      <c r="G196" s="2" t="s">
        <v>1125</v>
      </c>
      <c r="H196"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45876.54005787037</v>
      </c>
      <c r="I196" s="2" t="s">
        <v>23</v>
      </c>
      <c r="J196" s="2" t="s">
        <v>23</v>
      </c>
      <c r="K196" s="2" t="s">
        <v>38</v>
      </c>
      <c r="L196" s="2" t="s">
        <v>1126</v>
      </c>
      <c r="M196" s="2" t="s">
        <v>1127</v>
      </c>
      <c r="N196" s="2" t="s">
        <v>639</v>
      </c>
      <c r="O196" s="2" t="s">
        <v>41</v>
      </c>
      <c r="P196" s="2" t="s">
        <v>585</v>
      </c>
      <c r="Q196" s="3">
        <v>1</v>
      </c>
      <c r="R196" s="2" t="s">
        <v>30</v>
      </c>
      <c r="S196" s="2" t="s">
        <v>31</v>
      </c>
      <c r="T196" s="2" t="str">
        <f>IF(OR(NPS_Data[[#This Row],[CreatedDateTime]]="",NPS_Data[[#This Row],[Assigned To]]="",NPS_Data[[#This Row],[Issue 2 - NPS]]="",NPS_Data[[#This Row],[Program Name]]=""),"Missing","OK")</f>
        <v>OK</v>
      </c>
      <c r="U196" s="2" t="str">
        <f>IF(
  AND(NPS_Data[[#This Row],[Status]]="Complete", OR(ISNA(NPS_Data[[#This Row],[ResolvedDateTime]]), ISBLANK(NPS_Data[[#This Row],[ResolvedDateTime]]))),
  "CompleteNoResolved",
  IF(
    AND(NPS_Data[[#This Row],[Status]]="Pending", NPS_Data[[#This Row],[Sub Status]]="Solved"),
    "PendingButSolved",
    "OK"
  )
)</f>
        <v>OK</v>
      </c>
      <c r="V19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96" s="2" t="str">
        <f>IFERROR(TRIM(CLEAN(NPS_Data[[#This Row],[Ticket All Remarks]])),"")</f>
        <v>Screen sharing resolution too low during coding sessions. Can't read code examples on mobile device. Zoom compression makes text blurry. || Resolution: Upgraded streaming quality to 1080p and optimized for mobile viewing</v>
      </c>
      <c r="X196" s="2" cm="1">
        <f t="array" aca="1" ref="X196" ca="1">IF(NPS_Data[[#This Row],[CleanRemark]]="","",
   SUMPRODUCT(CODE(MID(NPS_Data[[#This Row],[CleanRemark]],ROW(INDIRECT("1:"&amp;LEN(NPS_Data[[#This Row],[CleanRemark]]))),1))))</f>
        <v>20792</v>
      </c>
      <c r="Y196" s="2" t="str">
        <f>IF(COUNTIF(NPS_Data[Ticket No],NPS_Data[[#This Row],[Ticket No]])&gt;1,"Duplicate","OK")</f>
        <v>OK</v>
      </c>
      <c r="Z196" s="2" t="str">
        <f ca="1">IF(NPS_Data[[#This Row],[RemarkHash]]="","OK",
   IF(COUNTIF(NPS_Data[RemarkHash],NPS_Data[[#This Row],[RemarkHash]])&gt;1,"RepeatedRemark","OK"))</f>
        <v>RepeatedRemark</v>
      </c>
      <c r="AA196" s="17">
        <f>IF( AND( ISNUMBER(NPS_Data[[#This Row],[CreatedDateTime]]), ISNUMBER(NPS_Data[[#This Row],[ResolvedDateTime]]) ), (NPS_Data[[#This Row],[ResolvedDateTime]] - NPS_Data[[#This Row],[CreatedDateTime]]) * 24, 0 )</f>
        <v>49.996388888801448</v>
      </c>
      <c r="AB196" s="65" t="str">
        <f>IF(NOT(ISNA(NPS_Data[[#This Row],[CreatedDateTime]])),
   YEAR(NPS_Data[[#This Row],[CreatedDateTime]]) &amp; "-" &amp; TEXT(WEEKNUM(NPS_Data[[#This Row],[CreatedDateTime]],2),"00"),
   "")</f>
        <v>2025-32</v>
      </c>
      <c r="AC196" s="14" t="str">
        <f>IF(NOT(ISNA(NPS_Data[[#This Row],[CreatedDateTime]])), TEXT(NPS_Data[[#This Row],[CreatedDateTime]],"YYYY-MM"), "")</f>
        <v>2025-08</v>
      </c>
      <c r="AD196" s="14" t="str">
        <f>IF(NOT(ISNUMBER(NPS_Data[[#This Row],[ResolutionHours]])),"Open", IF(NPS_Data[[#This Row],[ResolutionHours]]&gt;72,"Breach","OK"))</f>
        <v>OK</v>
      </c>
      <c r="AE196" s="14">
        <f>IF(AND(ISNUMBER(NPS_Data[[#This Row],[CreatedDateTime]]), ISNUMBER(NPS_Data[[#This Row],[ResolvedDateTime]])), 1, 0)</f>
        <v>1</v>
      </c>
      <c r="AF196" s="48" t="str">
        <f>IF(NOT(ISNA(NPS_Data[[#This Row],[CreatedDateTime]])), TEXT(NPS_Data[[#This Row],[CreatedDateTime]],"dddd"), "")</f>
        <v>Tuesday</v>
      </c>
    </row>
    <row r="197" spans="1:32" x14ac:dyDescent="0.25">
      <c r="A197" s="2" t="s">
        <v>1128</v>
      </c>
      <c r="B197" s="2" t="s">
        <v>85</v>
      </c>
      <c r="C197" s="2" t="s">
        <v>1129</v>
      </c>
      <c r="D19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45897.655173611114</v>
      </c>
      <c r="E197" s="2" t="s">
        <v>219</v>
      </c>
      <c r="H197"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197" s="2" t="s">
        <v>23</v>
      </c>
      <c r="J197" s="2" t="s">
        <v>23</v>
      </c>
      <c r="K197" s="2" t="s">
        <v>38</v>
      </c>
      <c r="L197" s="2" t="s">
        <v>1130</v>
      </c>
      <c r="M197" s="2" t="s">
        <v>1131</v>
      </c>
      <c r="N197" s="2" t="s">
        <v>787</v>
      </c>
      <c r="O197" s="2" t="s">
        <v>41</v>
      </c>
      <c r="P197" s="2" t="s">
        <v>148</v>
      </c>
      <c r="Q197" s="3">
        <v>5</v>
      </c>
      <c r="R197" s="2" t="s">
        <v>49</v>
      </c>
      <c r="S197" s="2" t="s">
        <v>116</v>
      </c>
      <c r="T197" s="2" t="str">
        <f>IF(OR(NPS_Data[[#This Row],[CreatedDateTime]]="",NPS_Data[[#This Row],[Assigned To]]="",NPS_Data[[#This Row],[Issue 2 - NPS]]="",NPS_Data[[#This Row],[Program Name]]=""),"Missing","OK")</f>
        <v>OK</v>
      </c>
      <c r="U197" s="2" t="str">
        <f>IF(
  AND(NPS_Data[[#This Row],[Status]]="Complete", OR(ISNA(NPS_Data[[#This Row],[ResolvedDateTime]]), ISBLANK(NPS_Data[[#This Row],[ResolvedDateTime]]))),
  "CompleteNoResolved",
  IF(
    AND(NPS_Data[[#This Row],[Status]]="Pending", NPS_Data[[#This Row],[Sub Status]]="Solved"),
    "PendingButSolved",
    "OK"
  )
)</f>
        <v>OK</v>
      </c>
      <c r="V19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97" s="2" t="str">
        <f>IFERROR(TRIM(CLEAN(NPS_Data[[#This Row],[Ticket All Remarks]])),"")</f>
        <v>Teaching pace in Data Structures class is inconsistent. Some days covers 3 algorithms, other days struggles with basic concepts. No structured lesson planning visible. || Resolution: Introduced standardized lesson plans with time allocations</v>
      </c>
      <c r="X197" s="2" cm="1">
        <f t="array" aca="1" ref="X197" ca="1">IF(NPS_Data[[#This Row],[CleanRemark]]="","",
   SUMPRODUCT(CODE(MID(NPS_Data[[#This Row],[CleanRemark]],ROW(INDIRECT("1:"&amp;LEN(NPS_Data[[#This Row],[CleanRemark]]))),1))))</f>
        <v>23107</v>
      </c>
      <c r="Y197" s="2" t="str">
        <f>IF(COUNTIF(NPS_Data[Ticket No],NPS_Data[[#This Row],[Ticket No]])&gt;1,"Duplicate","OK")</f>
        <v>OK</v>
      </c>
      <c r="Z197" s="2" t="str">
        <f ca="1">IF(NPS_Data[[#This Row],[RemarkHash]]="","OK",
   IF(COUNTIF(NPS_Data[RemarkHash],NPS_Data[[#This Row],[RemarkHash]])&gt;1,"RepeatedRemark","OK"))</f>
        <v>RepeatedRemark</v>
      </c>
      <c r="AA197" s="17">
        <f>IF( AND( ISNUMBER(NPS_Data[[#This Row],[CreatedDateTime]]), ISNUMBER(NPS_Data[[#This Row],[ResolvedDateTime]]) ), (NPS_Data[[#This Row],[ResolvedDateTime]] - NPS_Data[[#This Row],[CreatedDateTime]]) * 24, 0 )</f>
        <v>0</v>
      </c>
      <c r="AB197" s="65" t="str">
        <f>IF(NOT(ISNA(NPS_Data[[#This Row],[CreatedDateTime]])),
   YEAR(NPS_Data[[#This Row],[CreatedDateTime]]) &amp; "-" &amp; TEXT(WEEKNUM(NPS_Data[[#This Row],[CreatedDateTime]],2),"00"),
   "")</f>
        <v>2025-35</v>
      </c>
      <c r="AC197" s="14" t="str">
        <f>IF(NOT(ISNA(NPS_Data[[#This Row],[CreatedDateTime]])), TEXT(NPS_Data[[#This Row],[CreatedDateTime]],"YYYY-MM"), "")</f>
        <v>2025-08</v>
      </c>
      <c r="AD197" s="14" t="str">
        <f>IF(NOT(ISNUMBER(NPS_Data[[#This Row],[ResolutionHours]])),"Open", IF(NPS_Data[[#This Row],[ResolutionHours]]&gt;72,"Breach","OK"))</f>
        <v>OK</v>
      </c>
      <c r="AE197" s="14">
        <f>IF(AND(ISNUMBER(NPS_Data[[#This Row],[CreatedDateTime]]), ISNUMBER(NPS_Data[[#This Row],[ResolvedDateTime]])), 1, 0)</f>
        <v>0</v>
      </c>
      <c r="AF197" s="48" t="str">
        <f>IF(NOT(ISNA(NPS_Data[[#This Row],[CreatedDateTime]])), TEXT(NPS_Data[[#This Row],[CreatedDateTime]],"dddd"), "")</f>
        <v>Thursday</v>
      </c>
    </row>
    <row r="198" spans="1:32" x14ac:dyDescent="0.25">
      <c r="A198" s="2" t="s">
        <v>1132</v>
      </c>
      <c r="B198" s="2" t="s">
        <v>267</v>
      </c>
      <c r="C198" s="2" t="s">
        <v>1133</v>
      </c>
      <c r="D19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45879.729201388887</v>
      </c>
      <c r="E198" s="2" t="s">
        <v>20</v>
      </c>
      <c r="F198" s="2" t="s">
        <v>233</v>
      </c>
      <c r="G198" s="2" t="s">
        <v>1134</v>
      </c>
      <c r="H198"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45889.760891203703</v>
      </c>
      <c r="I198" s="2" t="s">
        <v>23</v>
      </c>
      <c r="J198" s="2" t="s">
        <v>23</v>
      </c>
      <c r="K198" s="2" t="s">
        <v>56</v>
      </c>
      <c r="L198" s="2" t="s">
        <v>1135</v>
      </c>
      <c r="M198" s="2" t="s">
        <v>1136</v>
      </c>
      <c r="N198" s="2" t="s">
        <v>655</v>
      </c>
      <c r="O198" s="2" t="s">
        <v>48</v>
      </c>
      <c r="P198" s="2" t="s">
        <v>216</v>
      </c>
      <c r="Q198" s="3">
        <v>2</v>
      </c>
      <c r="R198" s="2" t="s">
        <v>30</v>
      </c>
      <c r="S198" s="2" t="s">
        <v>31</v>
      </c>
      <c r="T198" s="2" t="str">
        <f>IF(OR(NPS_Data[[#This Row],[CreatedDateTime]]="",NPS_Data[[#This Row],[Assigned To]]="",NPS_Data[[#This Row],[Issue 2 - NPS]]="",NPS_Data[[#This Row],[Program Name]]=""),"Missing","OK")</f>
        <v>OK</v>
      </c>
      <c r="U198" s="2" t="str">
        <f>IF(
  AND(NPS_Data[[#This Row],[Status]]="Complete", OR(ISNA(NPS_Data[[#This Row],[ResolvedDateTime]]), ISBLANK(NPS_Data[[#This Row],[ResolvedDateTime]]))),
  "CompleteNoResolved",
  IF(
    AND(NPS_Data[[#This Row],[Status]]="Pending", NPS_Data[[#This Row],[Sub Status]]="Solved"),
    "PendingButSolved",
    "OK"
  )
)</f>
        <v>OK</v>
      </c>
      <c r="V19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98" s="2" t="str">
        <f>IFERROR(TRIM(CLEAN(NPS_Data[[#This Row],[Ticket All Remarks]])),"")</f>
        <v>Weekly mentor sessions rushed and superficial. Last call was 8 minutes discussing 6-month career roadmap. Need dedicated time for meaningful guidance. || Resolution: Increased minimum session duration to 30 minutes with structured agenda</v>
      </c>
      <c r="X198" s="2" cm="1">
        <f t="array" aca="1" ref="X198" ca="1">IF(NPS_Data[[#This Row],[CleanRemark]]="","",
   SUMPRODUCT(CODE(MID(NPS_Data[[#This Row],[CleanRemark]],ROW(INDIRECT("1:"&amp;LEN(NPS_Data[[#This Row],[CleanRemark]]))),1))))</f>
        <v>22452</v>
      </c>
      <c r="Y198" s="2" t="str">
        <f>IF(COUNTIF(NPS_Data[Ticket No],NPS_Data[[#This Row],[Ticket No]])&gt;1,"Duplicate","OK")</f>
        <v>OK</v>
      </c>
      <c r="Z198" s="2" t="str">
        <f ca="1">IF(NPS_Data[[#This Row],[RemarkHash]]="","OK",
   IF(COUNTIF(NPS_Data[RemarkHash],NPS_Data[[#This Row],[RemarkHash]])&gt;1,"RepeatedRemark","OK"))</f>
        <v>RepeatedRemark</v>
      </c>
      <c r="AA198" s="17">
        <f>IF( AND( ISNUMBER(NPS_Data[[#This Row],[CreatedDateTime]]), ISNUMBER(NPS_Data[[#This Row],[ResolvedDateTime]]) ), (NPS_Data[[#This Row],[ResolvedDateTime]] - NPS_Data[[#This Row],[CreatedDateTime]]) * 24, 0 )</f>
        <v>240.76055555557832</v>
      </c>
      <c r="AB198" s="65" t="str">
        <f>IF(NOT(ISNA(NPS_Data[[#This Row],[CreatedDateTime]])),
   YEAR(NPS_Data[[#This Row],[CreatedDateTime]]) &amp; "-" &amp; TEXT(WEEKNUM(NPS_Data[[#This Row],[CreatedDateTime]],2),"00"),
   "")</f>
        <v>2025-32</v>
      </c>
      <c r="AC198" s="14" t="str">
        <f>IF(NOT(ISNA(NPS_Data[[#This Row],[CreatedDateTime]])), TEXT(NPS_Data[[#This Row],[CreatedDateTime]],"YYYY-MM"), "")</f>
        <v>2025-08</v>
      </c>
      <c r="AD198" s="14" t="str">
        <f>IF(NOT(ISNUMBER(NPS_Data[[#This Row],[ResolutionHours]])),"Open", IF(NPS_Data[[#This Row],[ResolutionHours]]&gt;72,"Breach","OK"))</f>
        <v>Breach</v>
      </c>
      <c r="AE198" s="14">
        <f>IF(AND(ISNUMBER(NPS_Data[[#This Row],[CreatedDateTime]]), ISNUMBER(NPS_Data[[#This Row],[ResolvedDateTime]])), 1, 0)</f>
        <v>1</v>
      </c>
      <c r="AF198" s="48" t="str">
        <f>IF(NOT(ISNA(NPS_Data[[#This Row],[CreatedDateTime]])), TEXT(NPS_Data[[#This Row],[CreatedDateTime]],"dddd"), "")</f>
        <v>Sunday</v>
      </c>
    </row>
    <row r="199" spans="1:32" x14ac:dyDescent="0.25">
      <c r="A199" s="2" t="s">
        <v>1137</v>
      </c>
      <c r="B199" s="2" t="s">
        <v>63</v>
      </c>
      <c r="C199" s="2" t="s">
        <v>1138</v>
      </c>
      <c r="D19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45921.743414351855</v>
      </c>
      <c r="E199" s="2" t="s">
        <v>167</v>
      </c>
      <c r="F199" s="2" t="s">
        <v>1139</v>
      </c>
      <c r="G199" s="2" t="s">
        <v>1140</v>
      </c>
      <c r="H199"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45932.743067129632</v>
      </c>
      <c r="I199" s="2" t="s">
        <v>23</v>
      </c>
      <c r="J199" s="2" t="s">
        <v>23</v>
      </c>
      <c r="K199" s="2" t="s">
        <v>24</v>
      </c>
      <c r="L199" s="2" t="s">
        <v>1141</v>
      </c>
      <c r="M199" s="2" t="s">
        <v>1142</v>
      </c>
      <c r="N199" s="2" t="s">
        <v>1143</v>
      </c>
      <c r="O199" s="2" t="s">
        <v>41</v>
      </c>
      <c r="P199" s="2" t="s">
        <v>29</v>
      </c>
      <c r="Q199" s="3">
        <v>9</v>
      </c>
      <c r="R199" s="2" t="s">
        <v>30</v>
      </c>
      <c r="S199" s="2" t="s">
        <v>31</v>
      </c>
      <c r="T199" s="2" t="str">
        <f>IF(OR(NPS_Data[[#This Row],[CreatedDateTime]]="",NPS_Data[[#This Row],[Assigned To]]="",NPS_Data[[#This Row],[Issue 2 - NPS]]="",NPS_Data[[#This Row],[Program Name]]=""),"Missing","OK")</f>
        <v>OK</v>
      </c>
      <c r="U199" s="2" t="str">
        <f>IF(
  AND(NPS_Data[[#This Row],[Status]]="Complete", OR(ISNA(NPS_Data[[#This Row],[ResolvedDateTime]]), ISBLANK(NPS_Data[[#This Row],[ResolvedDateTime]]))),
  "CompleteNoResolved",
  IF(
    AND(NPS_Data[[#This Row],[Status]]="Pending", NPS_Data[[#This Row],[Sub Status]]="Solved"),
    "PendingButSolved",
    "OK"
  )
)</f>
        <v>OK</v>
      </c>
      <c r="V19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199" s="2" t="str">
        <f>IFERROR(TRIM(CLEAN(NPS_Data[[#This Row],[Ticket All Remarks]])),"")</f>
        <v>Group project team members unresponsive and not contributing equally. Carrying entire workload solo while others get same grades. Need individual assessment. || Resolution: Implemented peer evaluation system and individual contribution tracking</v>
      </c>
      <c r="X199" s="2" cm="1">
        <f t="array" aca="1" ref="X199" ca="1">IF(NPS_Data[[#This Row],[CleanRemark]]="","",
   SUMPRODUCT(CODE(MID(NPS_Data[[#This Row],[CleanRemark]],ROW(INDIRECT("1:"&amp;LEN(NPS_Data[[#This Row],[CleanRemark]]))),1))))</f>
        <v>23735</v>
      </c>
      <c r="Y199" s="2" t="str">
        <f>IF(COUNTIF(NPS_Data[Ticket No],NPS_Data[[#This Row],[Ticket No]])&gt;1,"Duplicate","OK")</f>
        <v>OK</v>
      </c>
      <c r="Z199" s="2" t="str">
        <f ca="1">IF(NPS_Data[[#This Row],[RemarkHash]]="","OK",
   IF(COUNTIF(NPS_Data[RemarkHash],NPS_Data[[#This Row],[RemarkHash]])&gt;1,"RepeatedRemark","OK"))</f>
        <v>OK</v>
      </c>
      <c r="AA199" s="17">
        <f>IF( AND( ISNUMBER(NPS_Data[[#This Row],[CreatedDateTime]]), ISNUMBER(NPS_Data[[#This Row],[ResolvedDateTime]]) ), (NPS_Data[[#This Row],[ResolvedDateTime]] - NPS_Data[[#This Row],[CreatedDateTime]]) * 24, 0 )</f>
        <v>263.9916666666395</v>
      </c>
      <c r="AB199" s="65" t="str">
        <f>IF(NOT(ISNA(NPS_Data[[#This Row],[CreatedDateTime]])),
   YEAR(NPS_Data[[#This Row],[CreatedDateTime]]) &amp; "-" &amp; TEXT(WEEKNUM(NPS_Data[[#This Row],[CreatedDateTime]],2),"00"),
   "")</f>
        <v>2025-38</v>
      </c>
      <c r="AC199" s="14" t="str">
        <f>IF(NOT(ISNA(NPS_Data[[#This Row],[CreatedDateTime]])), TEXT(NPS_Data[[#This Row],[CreatedDateTime]],"YYYY-MM"), "")</f>
        <v>2025-09</v>
      </c>
      <c r="AD199" s="14" t="str">
        <f>IF(NOT(ISNUMBER(NPS_Data[[#This Row],[ResolutionHours]])),"Open", IF(NPS_Data[[#This Row],[ResolutionHours]]&gt;72,"Breach","OK"))</f>
        <v>Breach</v>
      </c>
      <c r="AE199" s="14">
        <f>IF(AND(ISNUMBER(NPS_Data[[#This Row],[CreatedDateTime]]), ISNUMBER(NPS_Data[[#This Row],[ResolvedDateTime]])), 1, 0)</f>
        <v>1</v>
      </c>
      <c r="AF199" s="48" t="str">
        <f>IF(NOT(ISNA(NPS_Data[[#This Row],[CreatedDateTime]])), TEXT(NPS_Data[[#This Row],[CreatedDateTime]],"dddd"), "")</f>
        <v>Sunday</v>
      </c>
    </row>
    <row r="200" spans="1:32" x14ac:dyDescent="0.25">
      <c r="A200" s="2" t="s">
        <v>1144</v>
      </c>
      <c r="B200" s="2" t="s">
        <v>118</v>
      </c>
      <c r="C200" s="2" t="s">
        <v>1145</v>
      </c>
      <c r="D20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45871.689837962964</v>
      </c>
      <c r="E200" s="2" t="s">
        <v>113</v>
      </c>
      <c r="F200" s="2" t="s">
        <v>524</v>
      </c>
      <c r="G200" s="2" t="s">
        <v>1146</v>
      </c>
      <c r="H200"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45875.415173611109</v>
      </c>
      <c r="I200" s="2" t="s">
        <v>23</v>
      </c>
      <c r="J200" s="2" t="s">
        <v>23</v>
      </c>
      <c r="K200" s="2" t="s">
        <v>88</v>
      </c>
      <c r="L200" s="2" t="s">
        <v>1147</v>
      </c>
      <c r="M200" s="2" t="s">
        <v>1148</v>
      </c>
      <c r="N200" s="2" t="s">
        <v>188</v>
      </c>
      <c r="O200" s="2" t="s">
        <v>48</v>
      </c>
      <c r="P200" s="2" t="s">
        <v>189</v>
      </c>
      <c r="Q200" s="3">
        <v>3</v>
      </c>
      <c r="R200" s="2" t="s">
        <v>30</v>
      </c>
      <c r="S200" s="2" t="s">
        <v>31</v>
      </c>
      <c r="T200" s="2" t="str">
        <f>IF(OR(NPS_Data[[#This Row],[CreatedDateTime]]="",NPS_Data[[#This Row],[Assigned To]]="",NPS_Data[[#This Row],[Issue 2 - NPS]]="",NPS_Data[[#This Row],[Program Name]]=""),"Missing","OK")</f>
        <v>OK</v>
      </c>
      <c r="U200" s="2" t="str">
        <f>IF(
  AND(NPS_Data[[#This Row],[Status]]="Complete", OR(ISNA(NPS_Data[[#This Row],[ResolvedDateTime]]), ISBLANK(NPS_Data[[#This Row],[ResolvedDateTime]]))),
  "CompleteNoResolved",
  IF(
    AND(NPS_Data[[#This Row],[Status]]="Pending", NPS_Data[[#This Row],[Sub Status]]="Solved"),
    "PendingButSolved",
    "OK"
  )
)</f>
        <v>OK</v>
      </c>
      <c r="V20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00" s="2" t="str">
        <f>IFERROR(TRIM(CLEAN(NPS_Data[[#This Row],[Ticket All Remarks]])),"")</f>
        <v>Multiple interview rounds cleared but final selection goes to internal referrals. External candidates seem disadvantaged despite equal performance. || Resolution: Expanded alumni network for referral opportunities and insider advocacy</v>
      </c>
      <c r="X200" s="2" cm="1">
        <f t="array" aca="1" ref="X200" ca="1">IF(NPS_Data[[#This Row],[CleanRemark]]="","",
   SUMPRODUCT(CODE(MID(NPS_Data[[#This Row],[CleanRemark]],ROW(INDIRECT("1:"&amp;LEN(NPS_Data[[#This Row],[CleanRemark]]))),1))))</f>
        <v>22764</v>
      </c>
      <c r="Y200" s="2" t="str">
        <f>IF(COUNTIF(NPS_Data[Ticket No],NPS_Data[[#This Row],[Ticket No]])&gt;1,"Duplicate","OK")</f>
        <v>OK</v>
      </c>
      <c r="Z200" s="2" t="str">
        <f ca="1">IF(NPS_Data[[#This Row],[RemarkHash]]="","OK",
   IF(COUNTIF(NPS_Data[RemarkHash],NPS_Data[[#This Row],[RemarkHash]])&gt;1,"RepeatedRemark","OK"))</f>
        <v>RepeatedRemark</v>
      </c>
      <c r="AA200" s="17">
        <f>IF( AND( ISNUMBER(NPS_Data[[#This Row],[CreatedDateTime]]), ISNUMBER(NPS_Data[[#This Row],[ResolvedDateTime]]) ), (NPS_Data[[#This Row],[ResolvedDateTime]] - NPS_Data[[#This Row],[CreatedDateTime]]) * 24, 0 )</f>
        <v>89.408055555482861</v>
      </c>
      <c r="AB200" s="65" t="str">
        <f>IF(NOT(ISNA(NPS_Data[[#This Row],[CreatedDateTime]])),
   YEAR(NPS_Data[[#This Row],[CreatedDateTime]]) &amp; "-" &amp; TEXT(WEEKNUM(NPS_Data[[#This Row],[CreatedDateTime]],2),"00"),
   "")</f>
        <v>2025-31</v>
      </c>
      <c r="AC200" s="14" t="str">
        <f>IF(NOT(ISNA(NPS_Data[[#This Row],[CreatedDateTime]])), TEXT(NPS_Data[[#This Row],[CreatedDateTime]],"YYYY-MM"), "")</f>
        <v>2025-08</v>
      </c>
      <c r="AD200" s="14" t="str">
        <f>IF(NOT(ISNUMBER(NPS_Data[[#This Row],[ResolutionHours]])),"Open", IF(NPS_Data[[#This Row],[ResolutionHours]]&gt;72,"Breach","OK"))</f>
        <v>Breach</v>
      </c>
      <c r="AE200" s="14">
        <f>IF(AND(ISNUMBER(NPS_Data[[#This Row],[CreatedDateTime]]), ISNUMBER(NPS_Data[[#This Row],[ResolvedDateTime]])), 1, 0)</f>
        <v>1</v>
      </c>
      <c r="AF200" s="48" t="str">
        <f>IF(NOT(ISNA(NPS_Data[[#This Row],[CreatedDateTime]])), TEXT(NPS_Data[[#This Row],[CreatedDateTime]],"dddd"), "")</f>
        <v>Saturday</v>
      </c>
    </row>
    <row r="201" spans="1:32" x14ac:dyDescent="0.25">
      <c r="A201" s="2" t="s">
        <v>1149</v>
      </c>
      <c r="B201" s="2" t="s">
        <v>366</v>
      </c>
      <c r="C201" s="2" t="s">
        <v>1150</v>
      </c>
      <c r="D20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45887.466145833336</v>
      </c>
      <c r="E201" s="2" t="s">
        <v>113</v>
      </c>
      <c r="F201" s="2" t="s">
        <v>21</v>
      </c>
      <c r="G201" s="2" t="s">
        <v>1151</v>
      </c>
      <c r="H201"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45899.408495370371</v>
      </c>
      <c r="I201" s="2" t="s">
        <v>23</v>
      </c>
      <c r="J201" s="2" t="s">
        <v>23</v>
      </c>
      <c r="K201" s="2" t="s">
        <v>56</v>
      </c>
      <c r="L201" s="2" t="s">
        <v>1152</v>
      </c>
      <c r="M201" s="2" t="s">
        <v>1153</v>
      </c>
      <c r="N201" s="2" t="s">
        <v>670</v>
      </c>
      <c r="O201" s="2" t="s">
        <v>41</v>
      </c>
      <c r="P201" s="2" t="s">
        <v>60</v>
      </c>
      <c r="Q201" s="3">
        <v>3</v>
      </c>
      <c r="R201" s="2" t="s">
        <v>30</v>
      </c>
      <c r="S201" s="2" t="s">
        <v>31</v>
      </c>
      <c r="T201" s="2" t="str">
        <f>IF(OR(NPS_Data[[#This Row],[CreatedDateTime]]="",NPS_Data[[#This Row],[Assigned To]]="",NPS_Data[[#This Row],[Issue 2 - NPS]]="",NPS_Data[[#This Row],[Program Name]]=""),"Missing","OK")</f>
        <v>OK</v>
      </c>
      <c r="U201" s="2" t="str">
        <f>IF(
  AND(NPS_Data[[#This Row],[Status]]="Complete", OR(ISNA(NPS_Data[[#This Row],[ResolvedDateTime]]), ISBLANK(NPS_Data[[#This Row],[ResolvedDateTime]]))),
  "CompleteNoResolved",
  IF(
    AND(NPS_Data[[#This Row],[Status]]="Pending", NPS_Data[[#This Row],[Sub Status]]="Solved"),
    "PendingButSolved",
    "OK"
  )
)</f>
        <v>OK</v>
      </c>
      <c r="V20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01" s="2" t="str">
        <f>IFERROR(TRIM(CLEAN(NPS_Data[[#This Row],[Ticket All Remarks]])),"")</f>
        <v>Weekend AIML sessions run 5 hours straight (10 AM - 3 PM) without proper breaks. Exhausting for working parents with family commitments on weekends. || Resolution: Restructured to 3-hour sessions with 30-minute breaks every 90 minutes</v>
      </c>
      <c r="X201" s="2" cm="1">
        <f t="array" aca="1" ref="X201" ca="1">IF(NPS_Data[[#This Row],[CleanRemark]]="","",
   SUMPRODUCT(CODE(MID(NPS_Data[[#This Row],[CleanRemark]],ROW(INDIRECT("1:"&amp;LEN(NPS_Data[[#This Row],[CleanRemark]]))),1))))</f>
        <v>21498</v>
      </c>
      <c r="Y201" s="2" t="str">
        <f>IF(COUNTIF(NPS_Data[Ticket No],NPS_Data[[#This Row],[Ticket No]])&gt;1,"Duplicate","OK")</f>
        <v>OK</v>
      </c>
      <c r="Z201" s="2" t="str">
        <f ca="1">IF(NPS_Data[[#This Row],[RemarkHash]]="","OK",
   IF(COUNTIF(NPS_Data[RemarkHash],NPS_Data[[#This Row],[RemarkHash]])&gt;1,"RepeatedRemark","OK"))</f>
        <v>RepeatedRemark</v>
      </c>
      <c r="AA201" s="17">
        <f>IF( AND( ISNUMBER(NPS_Data[[#This Row],[CreatedDateTime]]), ISNUMBER(NPS_Data[[#This Row],[ResolvedDateTime]]) ), (NPS_Data[[#This Row],[ResolvedDateTime]] - NPS_Data[[#This Row],[CreatedDateTime]]) * 24, 0 )</f>
        <v>286.616388888855</v>
      </c>
      <c r="AB201" s="65" t="str">
        <f>IF(NOT(ISNA(NPS_Data[[#This Row],[CreatedDateTime]])),
   YEAR(NPS_Data[[#This Row],[CreatedDateTime]]) &amp; "-" &amp; TEXT(WEEKNUM(NPS_Data[[#This Row],[CreatedDateTime]],2),"00"),
   "")</f>
        <v>2025-34</v>
      </c>
      <c r="AC201" s="14" t="str">
        <f>IF(NOT(ISNA(NPS_Data[[#This Row],[CreatedDateTime]])), TEXT(NPS_Data[[#This Row],[CreatedDateTime]],"YYYY-MM"), "")</f>
        <v>2025-08</v>
      </c>
      <c r="AD201" s="14" t="str">
        <f>IF(NOT(ISNUMBER(NPS_Data[[#This Row],[ResolutionHours]])),"Open", IF(NPS_Data[[#This Row],[ResolutionHours]]&gt;72,"Breach","OK"))</f>
        <v>Breach</v>
      </c>
      <c r="AE201" s="14">
        <f>IF(AND(ISNUMBER(NPS_Data[[#This Row],[CreatedDateTime]]), ISNUMBER(NPS_Data[[#This Row],[ResolvedDateTime]])), 1, 0)</f>
        <v>1</v>
      </c>
      <c r="AF201" s="48" t="str">
        <f>IF(NOT(ISNA(NPS_Data[[#This Row],[CreatedDateTime]])), TEXT(NPS_Data[[#This Row],[CreatedDateTime]],"dddd"), "")</f>
        <v>Monday</v>
      </c>
    </row>
    <row r="202" spans="1:32" x14ac:dyDescent="0.25">
      <c r="A202" s="2" t="s">
        <v>1154</v>
      </c>
      <c r="B202" s="2" t="s">
        <v>197</v>
      </c>
      <c r="C202" s="2" t="s">
        <v>1155</v>
      </c>
      <c r="D20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45914.549664351849</v>
      </c>
      <c r="E202" s="2" t="s">
        <v>71</v>
      </c>
      <c r="F202" s="2" t="s">
        <v>448</v>
      </c>
      <c r="G202" s="2" t="s">
        <v>1156</v>
      </c>
      <c r="H202"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45924.756666666668</v>
      </c>
      <c r="I202" s="2" t="s">
        <v>23</v>
      </c>
      <c r="J202" s="2" t="s">
        <v>23</v>
      </c>
      <c r="K202" s="2" t="s">
        <v>56</v>
      </c>
      <c r="L202" s="2" t="s">
        <v>1157</v>
      </c>
      <c r="M202" s="2" t="s">
        <v>1158</v>
      </c>
      <c r="N202" s="2" t="s">
        <v>67</v>
      </c>
      <c r="O202" s="2" t="s">
        <v>177</v>
      </c>
      <c r="P202" s="2" t="s">
        <v>68</v>
      </c>
      <c r="Q202" s="3">
        <v>6</v>
      </c>
      <c r="R202" s="2" t="s">
        <v>30</v>
      </c>
      <c r="S202" s="2" t="s">
        <v>31</v>
      </c>
      <c r="T202" s="2" t="str">
        <f>IF(OR(NPS_Data[[#This Row],[CreatedDateTime]]="",NPS_Data[[#This Row],[Assigned To]]="",NPS_Data[[#This Row],[Issue 2 - NPS]]="",NPS_Data[[#This Row],[Program Name]]=""),"Missing","OK")</f>
        <v>OK</v>
      </c>
      <c r="U202" s="2" t="str">
        <f>IF(
  AND(NPS_Data[[#This Row],[Status]]="Complete", OR(ISNA(NPS_Data[[#This Row],[ResolvedDateTime]]), ISBLANK(NPS_Data[[#This Row],[ResolvedDateTime]]))),
  "CompleteNoResolved",
  IF(
    AND(NPS_Data[[#This Row],[Status]]="Pending", NPS_Data[[#This Row],[Sub Status]]="Solved"),
    "PendingButSolved",
    "OK"
  )
)</f>
        <v>OK</v>
      </c>
      <c r="V20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02" s="2" t="str">
        <f>IFERROR(TRIM(CLEAN(NPS_Data[[#This Row],[Ticket All Remarks]])),"")</f>
        <v>Told course would take 6 months but curriculum actually requires 10+ months for completion. Time commitment significantly underestimated. || Resolution: Updated course duration estimates and provided realistic timeline planning</v>
      </c>
      <c r="X202" s="2" cm="1">
        <f t="array" aca="1" ref="X202" ca="1">IF(NPS_Data[[#This Row],[CleanRemark]]="","",
   SUMPRODUCT(CODE(MID(NPS_Data[[#This Row],[CleanRemark]],ROW(INDIRECT("1:"&amp;LEN(NPS_Data[[#This Row],[CleanRemark]]))),1))))</f>
        <v>21945</v>
      </c>
      <c r="Y202" s="2" t="str">
        <f>IF(COUNTIF(NPS_Data[Ticket No],NPS_Data[[#This Row],[Ticket No]])&gt;1,"Duplicate","OK")</f>
        <v>OK</v>
      </c>
      <c r="Z202" s="2" t="str">
        <f ca="1">IF(NPS_Data[[#This Row],[RemarkHash]]="","OK",
   IF(COUNTIF(NPS_Data[RemarkHash],NPS_Data[[#This Row],[RemarkHash]])&gt;1,"RepeatedRemark","OK"))</f>
        <v>RepeatedRemark</v>
      </c>
      <c r="AA202" s="17">
        <f>IF( AND( ISNUMBER(NPS_Data[[#This Row],[CreatedDateTime]]), ISNUMBER(NPS_Data[[#This Row],[ResolvedDateTime]]) ), (NPS_Data[[#This Row],[ResolvedDateTime]] - NPS_Data[[#This Row],[CreatedDateTime]]) * 24, 0 )</f>
        <v>244.96805555565516</v>
      </c>
      <c r="AB202" s="65" t="str">
        <f>IF(NOT(ISNA(NPS_Data[[#This Row],[CreatedDateTime]])),
   YEAR(NPS_Data[[#This Row],[CreatedDateTime]]) &amp; "-" &amp; TEXT(WEEKNUM(NPS_Data[[#This Row],[CreatedDateTime]],2),"00"),
   "")</f>
        <v>2025-37</v>
      </c>
      <c r="AC202" s="14" t="str">
        <f>IF(NOT(ISNA(NPS_Data[[#This Row],[CreatedDateTime]])), TEXT(NPS_Data[[#This Row],[CreatedDateTime]],"YYYY-MM"), "")</f>
        <v>2025-09</v>
      </c>
      <c r="AD202" s="14" t="str">
        <f>IF(NOT(ISNUMBER(NPS_Data[[#This Row],[ResolutionHours]])),"Open", IF(NPS_Data[[#This Row],[ResolutionHours]]&gt;72,"Breach","OK"))</f>
        <v>Breach</v>
      </c>
      <c r="AE202" s="14">
        <f>IF(AND(ISNUMBER(NPS_Data[[#This Row],[CreatedDateTime]]), ISNUMBER(NPS_Data[[#This Row],[ResolvedDateTime]])), 1, 0)</f>
        <v>1</v>
      </c>
      <c r="AF202" s="48" t="str">
        <f>IF(NOT(ISNA(NPS_Data[[#This Row],[CreatedDateTime]])), TEXT(NPS_Data[[#This Row],[CreatedDateTime]],"dddd"), "")</f>
        <v>Sunday</v>
      </c>
    </row>
    <row r="203" spans="1:32" x14ac:dyDescent="0.25">
      <c r="A203" s="2" t="s">
        <v>1159</v>
      </c>
      <c r="B203" s="2" t="s">
        <v>78</v>
      </c>
      <c r="C203" s="2" t="s">
        <v>1160</v>
      </c>
      <c r="D20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45903.841643518521</v>
      </c>
      <c r="E203" s="2" t="s">
        <v>167</v>
      </c>
      <c r="F203" s="2" t="s">
        <v>280</v>
      </c>
      <c r="G203" s="2" t="s">
        <v>1161</v>
      </c>
      <c r="H203"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45909.758923611109</v>
      </c>
      <c r="I203" s="2" t="s">
        <v>23</v>
      </c>
      <c r="J203" s="2" t="s">
        <v>23</v>
      </c>
      <c r="K203" s="2" t="s">
        <v>38</v>
      </c>
      <c r="L203" s="2" t="s">
        <v>1162</v>
      </c>
      <c r="M203" s="2" t="s">
        <v>1163</v>
      </c>
      <c r="N203" s="2" t="s">
        <v>1102</v>
      </c>
      <c r="O203" s="2" t="s">
        <v>177</v>
      </c>
      <c r="P203" s="2" t="s">
        <v>148</v>
      </c>
      <c r="Q203" s="3">
        <v>6</v>
      </c>
      <c r="R203" s="2" t="s">
        <v>30</v>
      </c>
      <c r="S203" s="2" t="s">
        <v>50</v>
      </c>
      <c r="T203" s="2" t="str">
        <f>IF(OR(NPS_Data[[#This Row],[CreatedDateTime]]="",NPS_Data[[#This Row],[Assigned To]]="",NPS_Data[[#This Row],[Issue 2 - NPS]]="",NPS_Data[[#This Row],[Program Name]]=""),"Missing","OK")</f>
        <v>OK</v>
      </c>
      <c r="U203" s="2" t="str">
        <f>IF(
  AND(NPS_Data[[#This Row],[Status]]="Complete", OR(ISNA(NPS_Data[[#This Row],[ResolvedDateTime]]), ISBLANK(NPS_Data[[#This Row],[ResolvedDateTime]]))),
  "CompleteNoResolved",
  IF(
    AND(NPS_Data[[#This Row],[Status]]="Pending", NPS_Data[[#This Row],[Sub Status]]="Solved"),
    "PendingButSolved",
    "OK"
  )
)</f>
        <v>OK</v>
      </c>
      <c r="V20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03" s="2" t="str">
        <f>IFERROR(TRIM(CLEAN(NPS_Data[[#This Row],[Ticket All Remarks]])),"")</f>
        <v>Priya Patel rushes through Python concepts without checking student understanding. Covers list comprehensions, decorators, and generators in single session. No time for practice exercises. || Resolution: Restructured curriculum to allocate more time per concept</v>
      </c>
      <c r="X203" s="2" cm="1">
        <f t="array" aca="1" ref="X203" ca="1">IF(NPS_Data[[#This Row],[CleanRemark]]="","",
   SUMPRODUCT(CODE(MID(NPS_Data[[#This Row],[CleanRemark]],ROW(INDIRECT("1:"&amp;LEN(NPS_Data[[#This Row],[CleanRemark]]))),1))))</f>
        <v>25252</v>
      </c>
      <c r="Y203" s="2" t="str">
        <f>IF(COUNTIF(NPS_Data[Ticket No],NPS_Data[[#This Row],[Ticket No]])&gt;1,"Duplicate","OK")</f>
        <v>OK</v>
      </c>
      <c r="Z203" s="2" t="str">
        <f ca="1">IF(NPS_Data[[#This Row],[RemarkHash]]="","OK",
   IF(COUNTIF(NPS_Data[RemarkHash],NPS_Data[[#This Row],[RemarkHash]])&gt;1,"RepeatedRemark","OK"))</f>
        <v>RepeatedRemark</v>
      </c>
      <c r="AA203" s="17">
        <f>IF( AND( ISNUMBER(NPS_Data[[#This Row],[CreatedDateTime]]), ISNUMBER(NPS_Data[[#This Row],[ResolvedDateTime]]) ), (NPS_Data[[#This Row],[ResolvedDateTime]] - NPS_Data[[#This Row],[CreatedDateTime]]) * 24, 0 )</f>
        <v>142.01472222211305</v>
      </c>
      <c r="AB203" s="65" t="str">
        <f>IF(NOT(ISNA(NPS_Data[[#This Row],[CreatedDateTime]])),
   YEAR(NPS_Data[[#This Row],[CreatedDateTime]]) &amp; "-" &amp; TEXT(WEEKNUM(NPS_Data[[#This Row],[CreatedDateTime]],2),"00"),
   "")</f>
        <v>2025-36</v>
      </c>
      <c r="AC203" s="14" t="str">
        <f>IF(NOT(ISNA(NPS_Data[[#This Row],[CreatedDateTime]])), TEXT(NPS_Data[[#This Row],[CreatedDateTime]],"YYYY-MM"), "")</f>
        <v>2025-09</v>
      </c>
      <c r="AD203" s="14" t="str">
        <f>IF(NOT(ISNUMBER(NPS_Data[[#This Row],[ResolutionHours]])),"Open", IF(NPS_Data[[#This Row],[ResolutionHours]]&gt;72,"Breach","OK"))</f>
        <v>Breach</v>
      </c>
      <c r="AE203" s="14">
        <f>IF(AND(ISNUMBER(NPS_Data[[#This Row],[CreatedDateTime]]), ISNUMBER(NPS_Data[[#This Row],[ResolvedDateTime]])), 1, 0)</f>
        <v>1</v>
      </c>
      <c r="AF203" s="48" t="str">
        <f>IF(NOT(ISNA(NPS_Data[[#This Row],[CreatedDateTime]])), TEXT(NPS_Data[[#This Row],[CreatedDateTime]],"dddd"), "")</f>
        <v>Wednesday</v>
      </c>
    </row>
    <row r="204" spans="1:32" x14ac:dyDescent="0.25">
      <c r="A204" s="2" t="s">
        <v>1164</v>
      </c>
      <c r="B204" s="2" t="s">
        <v>331</v>
      </c>
      <c r="C204" s="2" t="s">
        <v>1165</v>
      </c>
      <c r="D20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45919.596759259257</v>
      </c>
      <c r="E204" s="2" t="s">
        <v>219</v>
      </c>
      <c r="F204" s="2" t="s">
        <v>519</v>
      </c>
      <c r="G204" s="2" t="s">
        <v>1166</v>
      </c>
      <c r="H204"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45928.586377314816</v>
      </c>
      <c r="I204" s="2" t="s">
        <v>23</v>
      </c>
      <c r="J204" s="2" t="s">
        <v>23</v>
      </c>
      <c r="K204" s="2" t="s">
        <v>38</v>
      </c>
      <c r="L204" s="2" t="s">
        <v>1167</v>
      </c>
      <c r="M204" s="2" t="s">
        <v>1168</v>
      </c>
      <c r="N204" s="2" t="s">
        <v>1169</v>
      </c>
      <c r="O204" s="2" t="s">
        <v>41</v>
      </c>
      <c r="P204" s="2" t="s">
        <v>148</v>
      </c>
      <c r="Q204" s="3">
        <v>7</v>
      </c>
      <c r="R204" s="2" t="s">
        <v>30</v>
      </c>
      <c r="S204" s="2" t="s">
        <v>31</v>
      </c>
      <c r="T204" s="2" t="str">
        <f>IF(OR(NPS_Data[[#This Row],[CreatedDateTime]]="",NPS_Data[[#This Row],[Assigned To]]="",NPS_Data[[#This Row],[Issue 2 - NPS]]="",NPS_Data[[#This Row],[Program Name]]=""),"Missing","OK")</f>
        <v>OK</v>
      </c>
      <c r="U204" s="2" t="str">
        <f>IF(
  AND(NPS_Data[[#This Row],[Status]]="Complete", OR(ISNA(NPS_Data[[#This Row],[ResolvedDateTime]]), ISBLANK(NPS_Data[[#This Row],[ResolvedDateTime]]))),
  "CompleteNoResolved",
  IF(
    AND(NPS_Data[[#This Row],[Status]]="Pending", NPS_Data[[#This Row],[Sub Status]]="Solved"),
    "PendingButSolved",
    "OK"
  )
)</f>
        <v>OK</v>
      </c>
      <c r="V20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04" s="2" t="str">
        <f>IFERROR(TRIM(CLEAN(NPS_Data[[#This Row],[Ticket All Remarks]])),"")</f>
        <v>Instructor Nina Patel David Chen frequently cancels AWS sessions due to health issues. This month: 5 out of 8 scheduled classes cancelled. Students falling behind on cloud certification timeline. || Resolution: Assigned backup instructor and provided comprehensive recorded sessions</v>
      </c>
      <c r="X204" s="2" cm="1">
        <f t="array" aca="1" ref="X204" ca="1">IF(NPS_Data[[#This Row],[CleanRemark]]="","",
   SUMPRODUCT(CODE(MID(NPS_Data[[#This Row],[CleanRemark]],ROW(INDIRECT("1:"&amp;LEN(NPS_Data[[#This Row],[CleanRemark]]))),1))))</f>
        <v>26736</v>
      </c>
      <c r="Y204" s="2" t="str">
        <f>IF(COUNTIF(NPS_Data[Ticket No],NPS_Data[[#This Row],[Ticket No]])&gt;1,"Duplicate","OK")</f>
        <v>OK</v>
      </c>
      <c r="Z204" s="2" t="str">
        <f ca="1">IF(NPS_Data[[#This Row],[RemarkHash]]="","OK",
   IF(COUNTIF(NPS_Data[RemarkHash],NPS_Data[[#This Row],[RemarkHash]])&gt;1,"RepeatedRemark","OK"))</f>
        <v>OK</v>
      </c>
      <c r="AA204" s="17">
        <f>IF( AND( ISNUMBER(NPS_Data[[#This Row],[CreatedDateTime]]), ISNUMBER(NPS_Data[[#This Row],[ResolvedDateTime]]) ), (NPS_Data[[#This Row],[ResolvedDateTime]] - NPS_Data[[#This Row],[CreatedDateTime]]) * 24, 0 )</f>
        <v>215.75083333341172</v>
      </c>
      <c r="AB204" s="65" t="str">
        <f>IF(NOT(ISNA(NPS_Data[[#This Row],[CreatedDateTime]])),
   YEAR(NPS_Data[[#This Row],[CreatedDateTime]]) &amp; "-" &amp; TEXT(WEEKNUM(NPS_Data[[#This Row],[CreatedDateTime]],2),"00"),
   "")</f>
        <v>2025-38</v>
      </c>
      <c r="AC204" s="14" t="str">
        <f>IF(NOT(ISNA(NPS_Data[[#This Row],[CreatedDateTime]])), TEXT(NPS_Data[[#This Row],[CreatedDateTime]],"YYYY-MM"), "")</f>
        <v>2025-09</v>
      </c>
      <c r="AD204" s="14" t="str">
        <f>IF(NOT(ISNUMBER(NPS_Data[[#This Row],[ResolutionHours]])),"Open", IF(NPS_Data[[#This Row],[ResolutionHours]]&gt;72,"Breach","OK"))</f>
        <v>Breach</v>
      </c>
      <c r="AE204" s="14">
        <f>IF(AND(ISNUMBER(NPS_Data[[#This Row],[CreatedDateTime]]), ISNUMBER(NPS_Data[[#This Row],[ResolvedDateTime]])), 1, 0)</f>
        <v>1</v>
      </c>
      <c r="AF204" s="48" t="str">
        <f>IF(NOT(ISNA(NPS_Data[[#This Row],[CreatedDateTime]])), TEXT(NPS_Data[[#This Row],[CreatedDateTime]],"dddd"), "")</f>
        <v>Friday</v>
      </c>
    </row>
    <row r="205" spans="1:32" x14ac:dyDescent="0.25">
      <c r="A205" s="2" t="s">
        <v>1170</v>
      </c>
      <c r="B205" s="2" t="s">
        <v>102</v>
      </c>
      <c r="C205" s="2" t="s">
        <v>1171</v>
      </c>
      <c r="D20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45915.817962962959</v>
      </c>
      <c r="E205" s="2" t="s">
        <v>219</v>
      </c>
      <c r="H205"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205" s="2" t="s">
        <v>23</v>
      </c>
      <c r="J205" s="2" t="s">
        <v>23</v>
      </c>
      <c r="K205" s="2" t="s">
        <v>38</v>
      </c>
      <c r="L205" s="2" t="s">
        <v>1172</v>
      </c>
      <c r="M205" s="2" t="s">
        <v>1173</v>
      </c>
      <c r="N205" s="2" t="s">
        <v>1174</v>
      </c>
      <c r="O205" s="2" t="s">
        <v>48</v>
      </c>
      <c r="P205" s="2" t="s">
        <v>158</v>
      </c>
      <c r="Q205" s="3">
        <v>2</v>
      </c>
      <c r="R205" s="2" t="s">
        <v>49</v>
      </c>
      <c r="S205" s="2" t="s">
        <v>50</v>
      </c>
      <c r="T205" s="2" t="str">
        <f>IF(OR(NPS_Data[[#This Row],[CreatedDateTime]]="",NPS_Data[[#This Row],[Assigned To]]="",NPS_Data[[#This Row],[Issue 2 - NPS]]="",NPS_Data[[#This Row],[Program Name]]=""),"Missing","OK")</f>
        <v>OK</v>
      </c>
      <c r="U205" s="2" t="str">
        <f>IF(
  AND(NPS_Data[[#This Row],[Status]]="Complete", OR(ISNA(NPS_Data[[#This Row],[ResolvedDateTime]]), ISBLANK(NPS_Data[[#This Row],[ResolvedDateTime]]))),
  "CompleteNoResolved",
  IF(
    AND(NPS_Data[[#This Row],[Status]]="Pending", NPS_Data[[#This Row],[Sub Status]]="Solved"),
    "PendingButSolved",
    "OK"
  )
)</f>
        <v>OK</v>
      </c>
      <c r="V20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05" s="2" t="str">
        <f>IFERROR(TRIM(CLEAN(NPS_Data[[#This Row],[Ticket All Remarks]])),"")</f>
        <v>Evening AIML Jul25 starts at 7 PM when dinner time with family. Work-life balance getting affected due to late learning schedule. || Resolution: Introduced early evening slots (6-8 PM) based on demand</v>
      </c>
      <c r="X205" s="2" cm="1">
        <f t="array" aca="1" ref="X205" ca="1">IF(NPS_Data[[#This Row],[CleanRemark]]="","",
   SUMPRODUCT(CODE(MID(NPS_Data[[#This Row],[CleanRemark]],ROW(INDIRECT("1:"&amp;LEN(NPS_Data[[#This Row],[CleanRemark]]))),1))))</f>
        <v>18023</v>
      </c>
      <c r="Y205" s="2" t="str">
        <f>IF(COUNTIF(NPS_Data[Ticket No],NPS_Data[[#This Row],[Ticket No]])&gt;1,"Duplicate","OK")</f>
        <v>OK</v>
      </c>
      <c r="Z205" s="2" t="str">
        <f ca="1">IF(NPS_Data[[#This Row],[RemarkHash]]="","OK",
   IF(COUNTIF(NPS_Data[RemarkHash],NPS_Data[[#This Row],[RemarkHash]])&gt;1,"RepeatedRemark","OK"))</f>
        <v>OK</v>
      </c>
      <c r="AA205" s="17">
        <f>IF( AND( ISNUMBER(NPS_Data[[#This Row],[CreatedDateTime]]), ISNUMBER(NPS_Data[[#This Row],[ResolvedDateTime]]) ), (NPS_Data[[#This Row],[ResolvedDateTime]] - NPS_Data[[#This Row],[CreatedDateTime]]) * 24, 0 )</f>
        <v>0</v>
      </c>
      <c r="AB205" s="65" t="str">
        <f>IF(NOT(ISNA(NPS_Data[[#This Row],[CreatedDateTime]])),
   YEAR(NPS_Data[[#This Row],[CreatedDateTime]]) &amp; "-" &amp; TEXT(WEEKNUM(NPS_Data[[#This Row],[CreatedDateTime]],2),"00"),
   "")</f>
        <v>2025-38</v>
      </c>
      <c r="AC205" s="14" t="str">
        <f>IF(NOT(ISNA(NPS_Data[[#This Row],[CreatedDateTime]])), TEXT(NPS_Data[[#This Row],[CreatedDateTime]],"YYYY-MM"), "")</f>
        <v>2025-09</v>
      </c>
      <c r="AD205" s="14" t="str">
        <f>IF(NOT(ISNUMBER(NPS_Data[[#This Row],[ResolutionHours]])),"Open", IF(NPS_Data[[#This Row],[ResolutionHours]]&gt;72,"Breach","OK"))</f>
        <v>OK</v>
      </c>
      <c r="AE205" s="14">
        <f>IF(AND(ISNUMBER(NPS_Data[[#This Row],[CreatedDateTime]]), ISNUMBER(NPS_Data[[#This Row],[ResolvedDateTime]])), 1, 0)</f>
        <v>0</v>
      </c>
      <c r="AF205" s="48" t="str">
        <f>IF(NOT(ISNA(NPS_Data[[#This Row],[CreatedDateTime]])), TEXT(NPS_Data[[#This Row],[CreatedDateTime]],"dddd"), "")</f>
        <v>Monday</v>
      </c>
    </row>
    <row r="206" spans="1:32" x14ac:dyDescent="0.25">
      <c r="A206" s="2" t="s">
        <v>1175</v>
      </c>
      <c r="B206" s="2" t="s">
        <v>111</v>
      </c>
      <c r="C206" s="2" t="s">
        <v>1176</v>
      </c>
      <c r="D20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45870.484953703701</v>
      </c>
      <c r="E206" s="2" t="s">
        <v>113</v>
      </c>
      <c r="H206"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206" s="2" t="s">
        <v>23</v>
      </c>
      <c r="J206" s="2" t="s">
        <v>23</v>
      </c>
      <c r="K206" s="2" t="s">
        <v>88</v>
      </c>
      <c r="L206" s="2" t="s">
        <v>1177</v>
      </c>
      <c r="M206" s="2" t="s">
        <v>1178</v>
      </c>
      <c r="N206" s="2" t="s">
        <v>1179</v>
      </c>
      <c r="O206" s="2" t="s">
        <v>41</v>
      </c>
      <c r="P206" s="2" t="s">
        <v>242</v>
      </c>
      <c r="Q206" s="3">
        <v>4</v>
      </c>
      <c r="R206" s="2" t="s">
        <v>49</v>
      </c>
      <c r="S206" s="2" t="s">
        <v>50</v>
      </c>
      <c r="T206" s="2" t="str">
        <f>IF(OR(NPS_Data[[#This Row],[CreatedDateTime]]="",NPS_Data[[#This Row],[Assigned To]]="",NPS_Data[[#This Row],[Issue 2 - NPS]]="",NPS_Data[[#This Row],[Program Name]]=""),"Missing","OK")</f>
        <v>OK</v>
      </c>
      <c r="U206" s="2" t="str">
        <f>IF(
  AND(NPS_Data[[#This Row],[Status]]="Complete", OR(ISNA(NPS_Data[[#This Row],[ResolvedDateTime]]), ISBLANK(NPS_Data[[#This Row],[ResolvedDateTime]]))),
  "CompleteNoResolved",
  IF(
    AND(NPS_Data[[#This Row],[Status]]="Pending", NPS_Data[[#This Row],[Sub Status]]="Solved"),
    "PendingButSolved",
    "OK"
  )
)</f>
        <v>OK</v>
      </c>
      <c r="V20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06" s="2" t="str">
        <f>IFERROR(TRIM(CLEAN(NPS_Data[[#This Row],[Ticket All Remarks]])),"")</f>
        <v>Resume format doesn't work for startup applications. Too formal for young companies, but changing format affects ATS performance at large corporations. || Resolution: Created dual resume strategy for different Wipro types</v>
      </c>
      <c r="X206" s="2" cm="1">
        <f t="array" aca="1" ref="X206" ca="1">IF(NPS_Data[[#This Row],[CleanRemark]]="","",
   SUMPRODUCT(CODE(MID(NPS_Data[[#This Row],[CleanRemark]],ROW(INDIRECT("1:"&amp;LEN(NPS_Data[[#This Row],[CleanRemark]]))),1))))</f>
        <v>21117</v>
      </c>
      <c r="Y206" s="2" t="str">
        <f>IF(COUNTIF(NPS_Data[Ticket No],NPS_Data[[#This Row],[Ticket No]])&gt;1,"Duplicate","OK")</f>
        <v>OK</v>
      </c>
      <c r="Z206" s="2" t="str">
        <f ca="1">IF(NPS_Data[[#This Row],[RemarkHash]]="","OK",
   IF(COUNTIF(NPS_Data[RemarkHash],NPS_Data[[#This Row],[RemarkHash]])&gt;1,"RepeatedRemark","OK"))</f>
        <v>OK</v>
      </c>
      <c r="AA206" s="17">
        <f>IF( AND( ISNUMBER(NPS_Data[[#This Row],[CreatedDateTime]]), ISNUMBER(NPS_Data[[#This Row],[ResolvedDateTime]]) ), (NPS_Data[[#This Row],[ResolvedDateTime]] - NPS_Data[[#This Row],[CreatedDateTime]]) * 24, 0 )</f>
        <v>0</v>
      </c>
      <c r="AB206" s="65" t="str">
        <f>IF(NOT(ISNA(NPS_Data[[#This Row],[CreatedDateTime]])),
   YEAR(NPS_Data[[#This Row],[CreatedDateTime]]) &amp; "-" &amp; TEXT(WEEKNUM(NPS_Data[[#This Row],[CreatedDateTime]],2),"00"),
   "")</f>
        <v>2025-31</v>
      </c>
      <c r="AC206" s="14" t="str">
        <f>IF(NOT(ISNA(NPS_Data[[#This Row],[CreatedDateTime]])), TEXT(NPS_Data[[#This Row],[CreatedDateTime]],"YYYY-MM"), "")</f>
        <v>2025-08</v>
      </c>
      <c r="AD206" s="14" t="str">
        <f>IF(NOT(ISNUMBER(NPS_Data[[#This Row],[ResolutionHours]])),"Open", IF(NPS_Data[[#This Row],[ResolutionHours]]&gt;72,"Breach","OK"))</f>
        <v>OK</v>
      </c>
      <c r="AE206" s="14">
        <f>IF(AND(ISNUMBER(NPS_Data[[#This Row],[CreatedDateTime]]), ISNUMBER(NPS_Data[[#This Row],[ResolvedDateTime]])), 1, 0)</f>
        <v>0</v>
      </c>
      <c r="AF206" s="48" t="str">
        <f>IF(NOT(ISNA(NPS_Data[[#This Row],[CreatedDateTime]])), TEXT(NPS_Data[[#This Row],[CreatedDateTime]],"dddd"), "")</f>
        <v>Friday</v>
      </c>
    </row>
    <row r="207" spans="1:32" x14ac:dyDescent="0.25">
      <c r="A207" s="2" t="s">
        <v>1180</v>
      </c>
      <c r="B207" s="2" t="s">
        <v>413</v>
      </c>
      <c r="C207" s="2" t="s">
        <v>1181</v>
      </c>
      <c r="D20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45917.666851851849</v>
      </c>
      <c r="E207" s="2" t="s">
        <v>35</v>
      </c>
      <c r="F207" s="2" t="s">
        <v>374</v>
      </c>
      <c r="G207" s="2" t="s">
        <v>1182</v>
      </c>
      <c r="H207"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45923.590740740743</v>
      </c>
      <c r="I207" s="2" t="s">
        <v>23</v>
      </c>
      <c r="J207" s="2" t="s">
        <v>23</v>
      </c>
      <c r="K207" s="2" t="s">
        <v>38</v>
      </c>
      <c r="L207" s="2" t="s">
        <v>1183</v>
      </c>
      <c r="M207" s="2" t="s">
        <v>1184</v>
      </c>
      <c r="N207" s="2" t="s">
        <v>639</v>
      </c>
      <c r="O207" s="2" t="s">
        <v>28</v>
      </c>
      <c r="P207" s="2" t="s">
        <v>585</v>
      </c>
      <c r="Q207" s="3">
        <v>2</v>
      </c>
      <c r="R207" s="2" t="s">
        <v>30</v>
      </c>
      <c r="S207" s="2" t="s">
        <v>31</v>
      </c>
      <c r="T207" s="2" t="str">
        <f>IF(OR(NPS_Data[[#This Row],[CreatedDateTime]]="",NPS_Data[[#This Row],[Assigned To]]="",NPS_Data[[#This Row],[Issue 2 - NPS]]="",NPS_Data[[#This Row],[Program Name]]=""),"Missing","OK")</f>
        <v>OK</v>
      </c>
      <c r="U207" s="2" t="str">
        <f>IF(
  AND(NPS_Data[[#This Row],[Status]]="Complete", OR(ISNA(NPS_Data[[#This Row],[ResolvedDateTime]]), ISBLANK(NPS_Data[[#This Row],[ResolvedDateTime]]))),
  "CompleteNoResolved",
  IF(
    AND(NPS_Data[[#This Row],[Status]]="Pending", NPS_Data[[#This Row],[Sub Status]]="Solved"),
    "PendingButSolved",
    "OK"
  )
)</f>
        <v>OK</v>
      </c>
      <c r="V20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07" s="2" t="str">
        <f>IFERROR(TRIM(CLEAN(NPS_Data[[#This Row],[Ticket All Remarks]])),"")</f>
        <v>Screen sharing resolution too low during coding sessions. Can't read code examples on mobile device. Zoom compression makes text blurry. || Resolution: Upgraded streaming quality to 1080p and optimized for mobile viewing</v>
      </c>
      <c r="X207" s="2" cm="1">
        <f t="array" aca="1" ref="X207" ca="1">IF(NPS_Data[[#This Row],[CleanRemark]]="","",
   SUMPRODUCT(CODE(MID(NPS_Data[[#This Row],[CleanRemark]],ROW(INDIRECT("1:"&amp;LEN(NPS_Data[[#This Row],[CleanRemark]]))),1))))</f>
        <v>20792</v>
      </c>
      <c r="Y207" s="2" t="str">
        <f>IF(COUNTIF(NPS_Data[Ticket No],NPS_Data[[#This Row],[Ticket No]])&gt;1,"Duplicate","OK")</f>
        <v>OK</v>
      </c>
      <c r="Z207" s="2" t="str">
        <f ca="1">IF(NPS_Data[[#This Row],[RemarkHash]]="","OK",
   IF(COUNTIF(NPS_Data[RemarkHash],NPS_Data[[#This Row],[RemarkHash]])&gt;1,"RepeatedRemark","OK"))</f>
        <v>RepeatedRemark</v>
      </c>
      <c r="AA207" s="17">
        <f>IF( AND( ISNUMBER(NPS_Data[[#This Row],[CreatedDateTime]]), ISNUMBER(NPS_Data[[#This Row],[ResolvedDateTime]]) ), (NPS_Data[[#This Row],[ResolvedDateTime]] - NPS_Data[[#This Row],[CreatedDateTime]]) * 24, 0 )</f>
        <v>142.17333333345596</v>
      </c>
      <c r="AB207" s="65" t="str">
        <f>IF(NOT(ISNA(NPS_Data[[#This Row],[CreatedDateTime]])),
   YEAR(NPS_Data[[#This Row],[CreatedDateTime]]) &amp; "-" &amp; TEXT(WEEKNUM(NPS_Data[[#This Row],[CreatedDateTime]],2),"00"),
   "")</f>
        <v>2025-38</v>
      </c>
      <c r="AC207" s="14" t="str">
        <f>IF(NOT(ISNA(NPS_Data[[#This Row],[CreatedDateTime]])), TEXT(NPS_Data[[#This Row],[CreatedDateTime]],"YYYY-MM"), "")</f>
        <v>2025-09</v>
      </c>
      <c r="AD207" s="14" t="str">
        <f>IF(NOT(ISNUMBER(NPS_Data[[#This Row],[ResolutionHours]])),"Open", IF(NPS_Data[[#This Row],[ResolutionHours]]&gt;72,"Breach","OK"))</f>
        <v>Breach</v>
      </c>
      <c r="AE207" s="14">
        <f>IF(AND(ISNUMBER(NPS_Data[[#This Row],[CreatedDateTime]]), ISNUMBER(NPS_Data[[#This Row],[ResolvedDateTime]])), 1, 0)</f>
        <v>1</v>
      </c>
      <c r="AF207" s="48" t="str">
        <f>IF(NOT(ISNA(NPS_Data[[#This Row],[CreatedDateTime]])), TEXT(NPS_Data[[#This Row],[CreatedDateTime]],"dddd"), "")</f>
        <v>Wednesday</v>
      </c>
    </row>
    <row r="208" spans="1:32" x14ac:dyDescent="0.25">
      <c r="A208" s="2" t="s">
        <v>1185</v>
      </c>
      <c r="B208" s="2" t="s">
        <v>435</v>
      </c>
      <c r="C208" s="2" t="s">
        <v>1186</v>
      </c>
      <c r="D20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45873.6406712963</v>
      </c>
      <c r="E208" s="2" t="s">
        <v>104</v>
      </c>
      <c r="F208" s="2" t="s">
        <v>141</v>
      </c>
      <c r="G208" s="2" t="s">
        <v>1187</v>
      </c>
      <c r="H208"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45885.632592592592</v>
      </c>
      <c r="I208" s="2" t="s">
        <v>23</v>
      </c>
      <c r="J208" s="2" t="s">
        <v>23</v>
      </c>
      <c r="K208" s="2" t="s">
        <v>38</v>
      </c>
      <c r="L208" s="2" t="s">
        <v>1188</v>
      </c>
      <c r="M208" s="2" t="s">
        <v>1189</v>
      </c>
      <c r="N208" s="2" t="s">
        <v>1075</v>
      </c>
      <c r="O208" s="2" t="s">
        <v>41</v>
      </c>
      <c r="P208" s="2" t="s">
        <v>158</v>
      </c>
      <c r="Q208" s="3">
        <v>7</v>
      </c>
      <c r="R208" s="2" t="s">
        <v>30</v>
      </c>
      <c r="S208" s="2" t="s">
        <v>31</v>
      </c>
      <c r="T208" s="2" t="str">
        <f>IF(OR(NPS_Data[[#This Row],[CreatedDateTime]]="",NPS_Data[[#This Row],[Assigned To]]="",NPS_Data[[#This Row],[Issue 2 - NPS]]="",NPS_Data[[#This Row],[Program Name]]=""),"Missing","OK")</f>
        <v>OK</v>
      </c>
      <c r="U208" s="2" t="str">
        <f>IF(
  AND(NPS_Data[[#This Row],[Status]]="Complete", OR(ISNA(NPS_Data[[#This Row],[ResolvedDateTime]]), ISBLANK(NPS_Data[[#This Row],[ResolvedDateTime]]))),
  "CompleteNoResolved",
  IF(
    AND(NPS_Data[[#This Row],[Status]]="Pending", NPS_Data[[#This Row],[Sub Status]]="Solved"),
    "PendingButSolved",
    "OK"
  )
)</f>
        <v>OK</v>
      </c>
      <c r="V20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08" s="2" t="str">
        <f>IFERROR(TRIM(CLEAN(NPS_Data[[#This Row],[Ticket All Remarks]])),"")</f>
        <v>Weekend Academy Jul25 Beginner timing (10 AM - 2 PM) conflicts with family time. Children's activities and household responsibilities suffer due to class schedule. || Resolution: Created flexible weekend options with shorter session formats</v>
      </c>
      <c r="X208" s="2" cm="1">
        <f t="array" aca="1" ref="X208" ca="1">IF(NPS_Data[[#This Row],[CleanRemark]]="","",
   SUMPRODUCT(CODE(MID(NPS_Data[[#This Row],[CleanRemark]],ROW(INDIRECT("1:"&amp;LEN(NPS_Data[[#This Row],[CleanRemark]]))),1))))</f>
        <v>22285</v>
      </c>
      <c r="Y208" s="2" t="str">
        <f>IF(COUNTIF(NPS_Data[Ticket No],NPS_Data[[#This Row],[Ticket No]])&gt;1,"Duplicate","OK")</f>
        <v>OK</v>
      </c>
      <c r="Z208" s="2" t="str">
        <f ca="1">IF(NPS_Data[[#This Row],[RemarkHash]]="","OK",
   IF(COUNTIF(NPS_Data[RemarkHash],NPS_Data[[#This Row],[RemarkHash]])&gt;1,"RepeatedRemark","OK"))</f>
        <v>RepeatedRemark</v>
      </c>
      <c r="AA208" s="17">
        <f>IF( AND( ISNUMBER(NPS_Data[[#This Row],[CreatedDateTime]]), ISNUMBER(NPS_Data[[#This Row],[ResolvedDateTime]]) ), (NPS_Data[[#This Row],[ResolvedDateTime]] - NPS_Data[[#This Row],[CreatedDateTime]]) * 24, 0 )</f>
        <v>287.80611111101462</v>
      </c>
      <c r="AB208" s="65" t="str">
        <f>IF(NOT(ISNA(NPS_Data[[#This Row],[CreatedDateTime]])),
   YEAR(NPS_Data[[#This Row],[CreatedDateTime]]) &amp; "-" &amp; TEXT(WEEKNUM(NPS_Data[[#This Row],[CreatedDateTime]],2),"00"),
   "")</f>
        <v>2025-32</v>
      </c>
      <c r="AC208" s="14" t="str">
        <f>IF(NOT(ISNA(NPS_Data[[#This Row],[CreatedDateTime]])), TEXT(NPS_Data[[#This Row],[CreatedDateTime]],"YYYY-MM"), "")</f>
        <v>2025-08</v>
      </c>
      <c r="AD208" s="14" t="str">
        <f>IF(NOT(ISNUMBER(NPS_Data[[#This Row],[ResolutionHours]])),"Open", IF(NPS_Data[[#This Row],[ResolutionHours]]&gt;72,"Breach","OK"))</f>
        <v>Breach</v>
      </c>
      <c r="AE208" s="14">
        <f>IF(AND(ISNUMBER(NPS_Data[[#This Row],[CreatedDateTime]]), ISNUMBER(NPS_Data[[#This Row],[ResolvedDateTime]])), 1, 0)</f>
        <v>1</v>
      </c>
      <c r="AF208" s="48" t="str">
        <f>IF(NOT(ISNA(NPS_Data[[#This Row],[CreatedDateTime]])), TEXT(NPS_Data[[#This Row],[CreatedDateTime]],"dddd"), "")</f>
        <v>Monday</v>
      </c>
    </row>
    <row r="209" spans="1:32" x14ac:dyDescent="0.25">
      <c r="A209" s="2" t="s">
        <v>1190</v>
      </c>
      <c r="B209" s="2" t="s">
        <v>226</v>
      </c>
      <c r="C209" s="2" t="s">
        <v>1191</v>
      </c>
      <c r="D20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45884.419687499998</v>
      </c>
      <c r="E209" s="2" t="s">
        <v>219</v>
      </c>
      <c r="F209" s="2" t="s">
        <v>135</v>
      </c>
      <c r="G209" s="2" t="s">
        <v>1192</v>
      </c>
      <c r="H209"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45886.387511574074</v>
      </c>
      <c r="I209" s="2" t="s">
        <v>23</v>
      </c>
      <c r="J209" s="2" t="s">
        <v>23</v>
      </c>
      <c r="K209" s="2" t="s">
        <v>38</v>
      </c>
      <c r="L209" s="2" t="s">
        <v>1193</v>
      </c>
      <c r="M209" s="2" t="s">
        <v>1194</v>
      </c>
      <c r="N209" s="2" t="s">
        <v>284</v>
      </c>
      <c r="O209" s="2" t="s">
        <v>48</v>
      </c>
      <c r="P209" s="2" t="s">
        <v>285</v>
      </c>
      <c r="Q209" s="3">
        <v>7</v>
      </c>
      <c r="R209" s="2" t="s">
        <v>30</v>
      </c>
      <c r="S209" s="2" t="s">
        <v>31</v>
      </c>
      <c r="T209" s="2" t="str">
        <f>IF(OR(NPS_Data[[#This Row],[CreatedDateTime]]="",NPS_Data[[#This Row],[Assigned To]]="",NPS_Data[[#This Row],[Issue 2 - NPS]]="",NPS_Data[[#This Row],[Program Name]]=""),"Missing","OK")</f>
        <v>OK</v>
      </c>
      <c r="U209" s="2" t="str">
        <f>IF(
  AND(NPS_Data[[#This Row],[Status]]="Complete", OR(ISNA(NPS_Data[[#This Row],[ResolvedDateTime]]), ISBLANK(NPS_Data[[#This Row],[ResolvedDateTime]]))),
  "CompleteNoResolved",
  IF(
    AND(NPS_Data[[#This Row],[Status]]="Pending", NPS_Data[[#This Row],[Sub Status]]="Solved"),
    "PendingButSolved",
    "OK"
  )
)</f>
        <v>OK</v>
      </c>
      <c r="V20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09" s="2" t="str">
        <f>IFERROR(TRIM(CLEAN(NPS_Data[[#This Row],[Ticket All Remarks]])),"")</f>
        <v>Lecture slides contain only bullet points without detailed explanations. Need comprehensive notes for exam preparation and interview revision. || Resolution: Enhanced slides with detailed explanations and examples</v>
      </c>
      <c r="X209" s="2" cm="1">
        <f t="array" aca="1" ref="X209" ca="1">IF(NPS_Data[[#This Row],[CleanRemark]]="","",
   SUMPRODUCT(CODE(MID(NPS_Data[[#This Row],[CleanRemark]],ROW(INDIRECT("1:"&amp;LEN(NPS_Data[[#This Row],[CleanRemark]]))),1))))</f>
        <v>20736</v>
      </c>
      <c r="Y209" s="2" t="str">
        <f>IF(COUNTIF(NPS_Data[Ticket No],NPS_Data[[#This Row],[Ticket No]])&gt;1,"Duplicate","OK")</f>
        <v>OK</v>
      </c>
      <c r="Z209" s="2" t="str">
        <f ca="1">IF(NPS_Data[[#This Row],[RemarkHash]]="","OK",
   IF(COUNTIF(NPS_Data[RemarkHash],NPS_Data[[#This Row],[RemarkHash]])&gt;1,"RepeatedRemark","OK"))</f>
        <v>RepeatedRemark</v>
      </c>
      <c r="AA209" s="17">
        <f>IF( AND( ISNUMBER(NPS_Data[[#This Row],[CreatedDateTime]]), ISNUMBER(NPS_Data[[#This Row],[ResolvedDateTime]]) ), (NPS_Data[[#This Row],[ResolvedDateTime]] - NPS_Data[[#This Row],[CreatedDateTime]]) * 24, 0 )</f>
        <v>47.227777777821757</v>
      </c>
      <c r="AB209" s="65" t="str">
        <f>IF(NOT(ISNA(NPS_Data[[#This Row],[CreatedDateTime]])),
   YEAR(NPS_Data[[#This Row],[CreatedDateTime]]) &amp; "-" &amp; TEXT(WEEKNUM(NPS_Data[[#This Row],[CreatedDateTime]],2),"00"),
   "")</f>
        <v>2025-33</v>
      </c>
      <c r="AC209" s="14" t="str">
        <f>IF(NOT(ISNA(NPS_Data[[#This Row],[CreatedDateTime]])), TEXT(NPS_Data[[#This Row],[CreatedDateTime]],"YYYY-MM"), "")</f>
        <v>2025-08</v>
      </c>
      <c r="AD209" s="14" t="str">
        <f>IF(NOT(ISNUMBER(NPS_Data[[#This Row],[ResolutionHours]])),"Open", IF(NPS_Data[[#This Row],[ResolutionHours]]&gt;72,"Breach","OK"))</f>
        <v>OK</v>
      </c>
      <c r="AE209" s="14">
        <f>IF(AND(ISNUMBER(NPS_Data[[#This Row],[CreatedDateTime]]), ISNUMBER(NPS_Data[[#This Row],[ResolvedDateTime]])), 1, 0)</f>
        <v>1</v>
      </c>
      <c r="AF209" s="48" t="str">
        <f>IF(NOT(ISNA(NPS_Data[[#This Row],[CreatedDateTime]])), TEXT(NPS_Data[[#This Row],[CreatedDateTime]],"dddd"), "")</f>
        <v>Friday</v>
      </c>
    </row>
    <row r="210" spans="1:32" x14ac:dyDescent="0.25">
      <c r="A210" s="2" t="s">
        <v>1195</v>
      </c>
      <c r="B210" s="2" t="s">
        <v>209</v>
      </c>
      <c r="C210" s="2" t="s">
        <v>1196</v>
      </c>
      <c r="D21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45908.799050925925</v>
      </c>
      <c r="E210" s="2" t="s">
        <v>104</v>
      </c>
      <c r="H210"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210" s="2" t="s">
        <v>23</v>
      </c>
      <c r="J210" s="2" t="s">
        <v>23</v>
      </c>
      <c r="K210" s="2" t="s">
        <v>56</v>
      </c>
      <c r="L210" s="2" t="s">
        <v>1197</v>
      </c>
      <c r="M210" s="2" t="s">
        <v>1198</v>
      </c>
      <c r="N210" s="2" t="s">
        <v>670</v>
      </c>
      <c r="O210" s="2" t="s">
        <v>28</v>
      </c>
      <c r="P210" s="2" t="s">
        <v>60</v>
      </c>
      <c r="Q210" s="3">
        <v>7</v>
      </c>
      <c r="R210" s="2" t="s">
        <v>49</v>
      </c>
      <c r="S210" s="2" t="s">
        <v>116</v>
      </c>
      <c r="T210" s="2" t="str">
        <f>IF(OR(NPS_Data[[#This Row],[CreatedDateTime]]="",NPS_Data[[#This Row],[Assigned To]]="",NPS_Data[[#This Row],[Issue 2 - NPS]]="",NPS_Data[[#This Row],[Program Name]]=""),"Missing","OK")</f>
        <v>OK</v>
      </c>
      <c r="U210" s="2" t="str">
        <f>IF(
  AND(NPS_Data[[#This Row],[Status]]="Complete", OR(ISNA(NPS_Data[[#This Row],[ResolvedDateTime]]), ISBLANK(NPS_Data[[#This Row],[ResolvedDateTime]]))),
  "CompleteNoResolved",
  IF(
    AND(NPS_Data[[#This Row],[Status]]="Pending", NPS_Data[[#This Row],[Sub Status]]="Solved"),
    "PendingButSolved",
    "OK"
  )
)</f>
        <v>OK</v>
      </c>
      <c r="V21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10" s="2" t="str">
        <f>IFERROR(TRIM(CLEAN(NPS_Data[[#This Row],[Ticket All Remarks]])),"")</f>
        <v>Weekend AIML sessions run 5 hours straight (10 AM - 3 PM) without proper breaks. Exhausting for working parents with family commitments on weekends. || Resolution: Restructured to 3-hour sessions with 30-minute breaks every 90 minutes</v>
      </c>
      <c r="X210" s="2" cm="1">
        <f t="array" aca="1" ref="X210" ca="1">IF(NPS_Data[[#This Row],[CleanRemark]]="","",
   SUMPRODUCT(CODE(MID(NPS_Data[[#This Row],[CleanRemark]],ROW(INDIRECT("1:"&amp;LEN(NPS_Data[[#This Row],[CleanRemark]]))),1))))</f>
        <v>21498</v>
      </c>
      <c r="Y210" s="2" t="str">
        <f>IF(COUNTIF(NPS_Data[Ticket No],NPS_Data[[#This Row],[Ticket No]])&gt;1,"Duplicate","OK")</f>
        <v>OK</v>
      </c>
      <c r="Z210" s="2" t="str">
        <f ca="1">IF(NPS_Data[[#This Row],[RemarkHash]]="","OK",
   IF(COUNTIF(NPS_Data[RemarkHash],NPS_Data[[#This Row],[RemarkHash]])&gt;1,"RepeatedRemark","OK"))</f>
        <v>RepeatedRemark</v>
      </c>
      <c r="AA210" s="17">
        <f>IF( AND( ISNUMBER(NPS_Data[[#This Row],[CreatedDateTime]]), ISNUMBER(NPS_Data[[#This Row],[ResolvedDateTime]]) ), (NPS_Data[[#This Row],[ResolvedDateTime]] - NPS_Data[[#This Row],[CreatedDateTime]]) * 24, 0 )</f>
        <v>0</v>
      </c>
      <c r="AB210" s="65" t="str">
        <f>IF(NOT(ISNA(NPS_Data[[#This Row],[CreatedDateTime]])),
   YEAR(NPS_Data[[#This Row],[CreatedDateTime]]) &amp; "-" &amp; TEXT(WEEKNUM(NPS_Data[[#This Row],[CreatedDateTime]],2),"00"),
   "")</f>
        <v>2025-37</v>
      </c>
      <c r="AC210" s="14" t="str">
        <f>IF(NOT(ISNA(NPS_Data[[#This Row],[CreatedDateTime]])), TEXT(NPS_Data[[#This Row],[CreatedDateTime]],"YYYY-MM"), "")</f>
        <v>2025-09</v>
      </c>
      <c r="AD210" s="14" t="str">
        <f>IF(NOT(ISNUMBER(NPS_Data[[#This Row],[ResolutionHours]])),"Open", IF(NPS_Data[[#This Row],[ResolutionHours]]&gt;72,"Breach","OK"))</f>
        <v>OK</v>
      </c>
      <c r="AE210" s="14">
        <f>IF(AND(ISNUMBER(NPS_Data[[#This Row],[CreatedDateTime]]), ISNUMBER(NPS_Data[[#This Row],[ResolvedDateTime]])), 1, 0)</f>
        <v>0</v>
      </c>
      <c r="AF210" s="48" t="str">
        <f>IF(NOT(ISNA(NPS_Data[[#This Row],[CreatedDateTime]])), TEXT(NPS_Data[[#This Row],[CreatedDateTime]],"dddd"), "")</f>
        <v>Monday</v>
      </c>
    </row>
    <row r="211" spans="1:32" x14ac:dyDescent="0.25">
      <c r="A211" s="2" t="s">
        <v>1199</v>
      </c>
      <c r="B211" s="2" t="s">
        <v>143</v>
      </c>
      <c r="C211" s="2" t="s">
        <v>1200</v>
      </c>
      <c r="D21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45896.504201388889</v>
      </c>
      <c r="E211" s="2" t="s">
        <v>104</v>
      </c>
      <c r="F211" s="2" t="s">
        <v>209</v>
      </c>
      <c r="G211" s="2" t="s">
        <v>1201</v>
      </c>
      <c r="H211"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45908.719930555555</v>
      </c>
      <c r="I211" s="2" t="s">
        <v>23</v>
      </c>
      <c r="J211" s="2" t="s">
        <v>23</v>
      </c>
      <c r="K211" s="2" t="s">
        <v>38</v>
      </c>
      <c r="L211" s="2" t="s">
        <v>1202</v>
      </c>
      <c r="M211" s="2" t="s">
        <v>1203</v>
      </c>
      <c r="N211" s="2" t="s">
        <v>1204</v>
      </c>
      <c r="O211" s="2" t="s">
        <v>48</v>
      </c>
      <c r="P211" s="2" t="s">
        <v>148</v>
      </c>
      <c r="Q211" s="3">
        <v>1</v>
      </c>
      <c r="R211" s="2" t="s">
        <v>30</v>
      </c>
      <c r="S211" s="2" t="s">
        <v>31</v>
      </c>
      <c r="T211" s="2" t="str">
        <f>IF(OR(NPS_Data[[#This Row],[CreatedDateTime]]="",NPS_Data[[#This Row],[Assigned To]]="",NPS_Data[[#This Row],[Issue 2 - NPS]]="",NPS_Data[[#This Row],[Program Name]]=""),"Missing","OK")</f>
        <v>OK</v>
      </c>
      <c r="U211" s="2" t="str">
        <f>IF(
  AND(NPS_Data[[#This Row],[Status]]="Complete", OR(ISNA(NPS_Data[[#This Row],[ResolvedDateTime]]), ISBLANK(NPS_Data[[#This Row],[ResolvedDateTime]]))),
  "CompleteNoResolved",
  IF(
    AND(NPS_Data[[#This Row],[Status]]="Pending", NPS_Data[[#This Row],[Sub Status]]="Solved"),
    "PendingButSolved",
    "OK"
  )
)</f>
        <v>OK</v>
      </c>
      <c r="V21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11" s="2" t="str">
        <f>IFERROR(TRIM(CLEAN(NPS_Data[[#This Row],[Ticket All Remarks]])),"")</f>
        <v>Sarah Johnson teaching DevOps has microphone issues every class. Voice cuts out during Docker explanations, students miss critical commands. Reported 4 times this month, still not fixed. || Resolution: Technical team replaced instructor's audio equipment immediately</v>
      </c>
      <c r="X211" s="2" cm="1">
        <f t="array" aca="1" ref="X211" ca="1">IF(NPS_Data[[#This Row],[CleanRemark]]="","",
   SUMPRODUCT(CODE(MID(NPS_Data[[#This Row],[CleanRemark]],ROW(INDIRECT("1:"&amp;LEN(NPS_Data[[#This Row],[CleanRemark]]))),1))))</f>
        <v>25367</v>
      </c>
      <c r="Y211" s="2" t="str">
        <f>IF(COUNTIF(NPS_Data[Ticket No],NPS_Data[[#This Row],[Ticket No]])&gt;1,"Duplicate","OK")</f>
        <v>OK</v>
      </c>
      <c r="Z211" s="2" t="str">
        <f ca="1">IF(NPS_Data[[#This Row],[RemarkHash]]="","OK",
   IF(COUNTIF(NPS_Data[RemarkHash],NPS_Data[[#This Row],[RemarkHash]])&gt;1,"RepeatedRemark","OK"))</f>
        <v>OK</v>
      </c>
      <c r="AA211" s="17">
        <f>IF( AND( ISNUMBER(NPS_Data[[#This Row],[CreatedDateTime]]), ISNUMBER(NPS_Data[[#This Row],[ResolvedDateTime]]) ), (NPS_Data[[#This Row],[ResolvedDateTime]] - NPS_Data[[#This Row],[CreatedDateTime]]) * 24, 0 )</f>
        <v>293.17749999999069</v>
      </c>
      <c r="AB211" s="65" t="str">
        <f>IF(NOT(ISNA(NPS_Data[[#This Row],[CreatedDateTime]])),
   YEAR(NPS_Data[[#This Row],[CreatedDateTime]]) &amp; "-" &amp; TEXT(WEEKNUM(NPS_Data[[#This Row],[CreatedDateTime]],2),"00"),
   "")</f>
        <v>2025-35</v>
      </c>
      <c r="AC211" s="14" t="str">
        <f>IF(NOT(ISNA(NPS_Data[[#This Row],[CreatedDateTime]])), TEXT(NPS_Data[[#This Row],[CreatedDateTime]],"YYYY-MM"), "")</f>
        <v>2025-08</v>
      </c>
      <c r="AD211" s="14" t="str">
        <f>IF(NOT(ISNUMBER(NPS_Data[[#This Row],[ResolutionHours]])),"Open", IF(NPS_Data[[#This Row],[ResolutionHours]]&gt;72,"Breach","OK"))</f>
        <v>Breach</v>
      </c>
      <c r="AE211" s="14">
        <f>IF(AND(ISNUMBER(NPS_Data[[#This Row],[CreatedDateTime]]), ISNUMBER(NPS_Data[[#This Row],[ResolvedDateTime]])), 1, 0)</f>
        <v>1</v>
      </c>
      <c r="AF211" s="48" t="str">
        <f>IF(NOT(ISNA(NPS_Data[[#This Row],[CreatedDateTime]])), TEXT(NPS_Data[[#This Row],[CreatedDateTime]],"dddd"), "")</f>
        <v>Wednesday</v>
      </c>
    </row>
    <row r="212" spans="1:32" x14ac:dyDescent="0.25">
      <c r="A212" s="2" t="s">
        <v>1205</v>
      </c>
      <c r="B212" s="2" t="s">
        <v>111</v>
      </c>
      <c r="C212" s="2" t="s">
        <v>1206</v>
      </c>
      <c r="D21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45870.507407407407</v>
      </c>
      <c r="E212" s="2" t="s">
        <v>44</v>
      </c>
      <c r="F212" s="2" t="s">
        <v>524</v>
      </c>
      <c r="G212" s="2" t="s">
        <v>1207</v>
      </c>
      <c r="H212"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45875.770972222221</v>
      </c>
      <c r="I212" s="2" t="s">
        <v>23</v>
      </c>
      <c r="J212" s="2" t="s">
        <v>23</v>
      </c>
      <c r="K212" s="2" t="s">
        <v>88</v>
      </c>
      <c r="L212" s="2" t="s">
        <v>1208</v>
      </c>
      <c r="M212" s="2" t="s">
        <v>1209</v>
      </c>
      <c r="N212" s="2" t="s">
        <v>970</v>
      </c>
      <c r="O212" s="2" t="s">
        <v>28</v>
      </c>
      <c r="P212" s="2" t="s">
        <v>189</v>
      </c>
      <c r="Q212" s="3">
        <v>7</v>
      </c>
      <c r="R212" s="2" t="s">
        <v>30</v>
      </c>
      <c r="S212" s="2" t="s">
        <v>31</v>
      </c>
      <c r="T212" s="2" t="str">
        <f>IF(OR(NPS_Data[[#This Row],[CreatedDateTime]]="",NPS_Data[[#This Row],[Assigned To]]="",NPS_Data[[#This Row],[Issue 2 - NPS]]="",NPS_Data[[#This Row],[Program Name]]=""),"Missing","OK")</f>
        <v>OK</v>
      </c>
      <c r="U212" s="2" t="str">
        <f>IF(
  AND(NPS_Data[[#This Row],[Status]]="Complete", OR(ISNA(NPS_Data[[#This Row],[ResolvedDateTime]]), ISBLANK(NPS_Data[[#This Row],[ResolvedDateTime]]))),
  "CompleteNoResolved",
  IF(
    AND(NPS_Data[[#This Row],[Status]]="Pending", NPS_Data[[#This Row],[Sub Status]]="Solved"),
    "PendingButSolved",
    "OK"
  )
)</f>
        <v>OK</v>
      </c>
      <c r="V21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12" s="2" t="str">
        <f>IFERROR(TRIM(CLEAN(NPS_Data[[#This Row],[Ticket All Remarks]])),"")</f>
        <v>Geographic restrictions limiting opportunities. Family commitments require staying in Tier-2 city but most opportunities in Bangalore/Hyderabad. || Resolution: Focused on remote opportunities and companies with distributed teams</v>
      </c>
      <c r="X212" s="2" cm="1">
        <f t="array" aca="1" ref="X212" ca="1">IF(NPS_Data[[#This Row],[CleanRemark]]="","",
   SUMPRODUCT(CODE(MID(NPS_Data[[#This Row],[CleanRemark]],ROW(INDIRECT("1:"&amp;LEN(NPS_Data[[#This Row],[CleanRemark]]))),1))))</f>
        <v>22209</v>
      </c>
      <c r="Y212" s="2" t="str">
        <f>IF(COUNTIF(NPS_Data[Ticket No],NPS_Data[[#This Row],[Ticket No]])&gt;1,"Duplicate","OK")</f>
        <v>OK</v>
      </c>
      <c r="Z212" s="2" t="str">
        <f ca="1">IF(NPS_Data[[#This Row],[RemarkHash]]="","OK",
   IF(COUNTIF(NPS_Data[RemarkHash],NPS_Data[[#This Row],[RemarkHash]])&gt;1,"RepeatedRemark","OK"))</f>
        <v>RepeatedRemark</v>
      </c>
      <c r="AA212" s="17">
        <f>IF( AND( ISNUMBER(NPS_Data[[#This Row],[CreatedDateTime]]), ISNUMBER(NPS_Data[[#This Row],[ResolvedDateTime]]) ), (NPS_Data[[#This Row],[ResolvedDateTime]] - NPS_Data[[#This Row],[CreatedDateTime]]) * 24, 0 )</f>
        <v>126.32555555552244</v>
      </c>
      <c r="AB212" s="65" t="str">
        <f>IF(NOT(ISNA(NPS_Data[[#This Row],[CreatedDateTime]])),
   YEAR(NPS_Data[[#This Row],[CreatedDateTime]]) &amp; "-" &amp; TEXT(WEEKNUM(NPS_Data[[#This Row],[CreatedDateTime]],2),"00"),
   "")</f>
        <v>2025-31</v>
      </c>
      <c r="AC212" s="14" t="str">
        <f>IF(NOT(ISNA(NPS_Data[[#This Row],[CreatedDateTime]])), TEXT(NPS_Data[[#This Row],[CreatedDateTime]],"YYYY-MM"), "")</f>
        <v>2025-08</v>
      </c>
      <c r="AD212" s="14" t="str">
        <f>IF(NOT(ISNUMBER(NPS_Data[[#This Row],[ResolutionHours]])),"Open", IF(NPS_Data[[#This Row],[ResolutionHours]]&gt;72,"Breach","OK"))</f>
        <v>Breach</v>
      </c>
      <c r="AE212" s="14">
        <f>IF(AND(ISNUMBER(NPS_Data[[#This Row],[CreatedDateTime]]), ISNUMBER(NPS_Data[[#This Row],[ResolvedDateTime]])), 1, 0)</f>
        <v>1</v>
      </c>
      <c r="AF212" s="48" t="str">
        <f>IF(NOT(ISNA(NPS_Data[[#This Row],[CreatedDateTime]])), TEXT(NPS_Data[[#This Row],[CreatedDateTime]],"dddd"), "")</f>
        <v>Friday</v>
      </c>
    </row>
    <row r="213" spans="1:32" x14ac:dyDescent="0.25">
      <c r="A213" s="2" t="s">
        <v>1210</v>
      </c>
      <c r="B213" s="2" t="s">
        <v>191</v>
      </c>
      <c r="C213" s="2" t="s">
        <v>1211</v>
      </c>
      <c r="D21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45900.622499999998</v>
      </c>
      <c r="E213" s="2" t="s">
        <v>167</v>
      </c>
      <c r="F213" s="2" t="s">
        <v>918</v>
      </c>
      <c r="G213" s="2" t="s">
        <v>1212</v>
      </c>
      <c r="H213"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45911.545613425929</v>
      </c>
      <c r="I213" s="2" t="s">
        <v>23</v>
      </c>
      <c r="J213" s="2" t="s">
        <v>23</v>
      </c>
      <c r="K213" s="2" t="s">
        <v>24</v>
      </c>
      <c r="L213" s="2" t="s">
        <v>1213</v>
      </c>
      <c r="M213" s="2" t="s">
        <v>1214</v>
      </c>
      <c r="N213" s="2" t="s">
        <v>362</v>
      </c>
      <c r="O213" s="2" t="s">
        <v>41</v>
      </c>
      <c r="P213" s="2" t="s">
        <v>125</v>
      </c>
      <c r="Q213" s="3">
        <v>4</v>
      </c>
      <c r="R213" s="2" t="s">
        <v>30</v>
      </c>
      <c r="S213" s="2" t="s">
        <v>31</v>
      </c>
      <c r="T213" s="2" t="str">
        <f>IF(OR(NPS_Data[[#This Row],[CreatedDateTime]]="",NPS_Data[[#This Row],[Assigned To]]="",NPS_Data[[#This Row],[Issue 2 - NPS]]="",NPS_Data[[#This Row],[Program Name]]=""),"Missing","OK")</f>
        <v>OK</v>
      </c>
      <c r="U213" s="2" t="str">
        <f>IF(
  AND(NPS_Data[[#This Row],[Status]]="Complete", OR(ISNA(NPS_Data[[#This Row],[ResolvedDateTime]]), ISBLANK(NPS_Data[[#This Row],[ResolvedDateTime]]))),
  "CompleteNoResolved",
  IF(
    AND(NPS_Data[[#This Row],[Status]]="Pending", NPS_Data[[#This Row],[Sub Status]]="Solved"),
    "PendingButSolved",
    "OK"
  )
)</f>
        <v>OK</v>
      </c>
      <c r="V21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13" s="2" t="str">
        <f>IFERROR(TRIM(CLEAN(NPS_Data[[#This Row],[Ticket All Remarks]])),"")</f>
        <v>Teaching Assistant lacks depth in advanced topics. Can help with basic syntax but struggles with algorithm optimization and complexity analysis questions. || Resolution: Assigned senior TA with computer science background for advanced topic support</v>
      </c>
      <c r="X213" s="2" cm="1">
        <f t="array" aca="1" ref="X213" ca="1">IF(NPS_Data[[#This Row],[CleanRemark]]="","",
   SUMPRODUCT(CODE(MID(NPS_Data[[#This Row],[CleanRemark]],ROW(INDIRECT("1:"&amp;LEN(NPS_Data[[#This Row],[CleanRemark]]))),1))))</f>
        <v>23927</v>
      </c>
      <c r="Y213" s="2" t="str">
        <f>IF(COUNTIF(NPS_Data[Ticket No],NPS_Data[[#This Row],[Ticket No]])&gt;1,"Duplicate","OK")</f>
        <v>OK</v>
      </c>
      <c r="Z213" s="2" t="str">
        <f ca="1">IF(NPS_Data[[#This Row],[RemarkHash]]="","OK",
   IF(COUNTIF(NPS_Data[RemarkHash],NPS_Data[[#This Row],[RemarkHash]])&gt;1,"RepeatedRemark","OK"))</f>
        <v>RepeatedRemark</v>
      </c>
      <c r="AA213" s="17">
        <f>IF( AND( ISNUMBER(NPS_Data[[#This Row],[CreatedDateTime]]), ISNUMBER(NPS_Data[[#This Row],[ResolvedDateTime]]) ), (NPS_Data[[#This Row],[ResolvedDateTime]] - NPS_Data[[#This Row],[CreatedDateTime]]) * 24, 0 )</f>
        <v>262.15472222235985</v>
      </c>
      <c r="AB213" s="65" t="str">
        <f>IF(NOT(ISNA(NPS_Data[[#This Row],[CreatedDateTime]])),
   YEAR(NPS_Data[[#This Row],[CreatedDateTime]]) &amp; "-" &amp; TEXT(WEEKNUM(NPS_Data[[#This Row],[CreatedDateTime]],2),"00"),
   "")</f>
        <v>2025-35</v>
      </c>
      <c r="AC213" s="14" t="str">
        <f>IF(NOT(ISNA(NPS_Data[[#This Row],[CreatedDateTime]])), TEXT(NPS_Data[[#This Row],[CreatedDateTime]],"YYYY-MM"), "")</f>
        <v>2025-08</v>
      </c>
      <c r="AD213" s="14" t="str">
        <f>IF(NOT(ISNUMBER(NPS_Data[[#This Row],[ResolutionHours]])),"Open", IF(NPS_Data[[#This Row],[ResolutionHours]]&gt;72,"Breach","OK"))</f>
        <v>Breach</v>
      </c>
      <c r="AE213" s="14">
        <f>IF(AND(ISNUMBER(NPS_Data[[#This Row],[CreatedDateTime]]), ISNUMBER(NPS_Data[[#This Row],[ResolvedDateTime]])), 1, 0)</f>
        <v>1</v>
      </c>
      <c r="AF213" s="48" t="str">
        <f>IF(NOT(ISNA(NPS_Data[[#This Row],[CreatedDateTime]])), TEXT(NPS_Data[[#This Row],[CreatedDateTime]],"dddd"), "")</f>
        <v>Sunday</v>
      </c>
    </row>
    <row r="214" spans="1:32" x14ac:dyDescent="0.25">
      <c r="A214" s="2" t="s">
        <v>1215</v>
      </c>
      <c r="B214" s="2" t="s">
        <v>135</v>
      </c>
      <c r="C214" s="2" t="s">
        <v>1216</v>
      </c>
      <c r="D21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45886.807534722226</v>
      </c>
      <c r="E214" s="2" t="s">
        <v>80</v>
      </c>
      <c r="F214" s="2" t="s">
        <v>172</v>
      </c>
      <c r="G214" s="2" t="s">
        <v>1217</v>
      </c>
      <c r="H214"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45891.752187500002</v>
      </c>
      <c r="I214" s="2" t="s">
        <v>23</v>
      </c>
      <c r="J214" s="2" t="s">
        <v>23</v>
      </c>
      <c r="K214" s="2" t="s">
        <v>24</v>
      </c>
      <c r="L214" s="2" t="s">
        <v>1218</v>
      </c>
      <c r="M214" s="2" t="s">
        <v>1219</v>
      </c>
      <c r="N214" s="2" t="s">
        <v>1013</v>
      </c>
      <c r="O214" s="2" t="s">
        <v>28</v>
      </c>
      <c r="P214" s="2" t="s">
        <v>125</v>
      </c>
      <c r="Q214" s="3">
        <v>3</v>
      </c>
      <c r="R214" s="2" t="s">
        <v>30</v>
      </c>
      <c r="S214" s="2" t="s">
        <v>31</v>
      </c>
      <c r="T214" s="2" t="str">
        <f>IF(OR(NPS_Data[[#This Row],[CreatedDateTime]]="",NPS_Data[[#This Row],[Assigned To]]="",NPS_Data[[#This Row],[Issue 2 - NPS]]="",NPS_Data[[#This Row],[Program Name]]=""),"Missing","OK")</f>
        <v>OK</v>
      </c>
      <c r="U214" s="2" t="str">
        <f>IF(
  AND(NPS_Data[[#This Row],[Status]]="Complete", OR(ISNA(NPS_Data[[#This Row],[ResolvedDateTime]]), ISBLANK(NPS_Data[[#This Row],[ResolvedDateTime]]))),
  "CompleteNoResolved",
  IF(
    AND(NPS_Data[[#This Row],[Status]]="Pending", NPS_Data[[#This Row],[Sub Status]]="Solved"),
    "PendingButSolved",
    "OK"
  )
)</f>
        <v>OK</v>
      </c>
      <c r="V21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14" s="2" t="str">
        <f>IFERROR(TRIM(CLEAN(NPS_Data[[#This Row],[Ticket All Remarks]])),"")</f>
        <v>TA Rohit takes 2-3 days to respond to doubt resolution requests. Critical errors in assignments go unresolved, affecting submission deadlines. || Resolution: Implemented 24-hour response SLA for TAs and hired additional support staff</v>
      </c>
      <c r="X214" s="2" cm="1">
        <f t="array" aca="1" ref="X214" ca="1">IF(NPS_Data[[#This Row],[CleanRemark]]="","",
   SUMPRODUCT(CODE(MID(NPS_Data[[#This Row],[CleanRemark]],ROW(INDIRECT("1:"&amp;LEN(NPS_Data[[#This Row],[CleanRemark]]))),1))))</f>
        <v>21891</v>
      </c>
      <c r="Y214" s="2" t="str">
        <f>IF(COUNTIF(NPS_Data[Ticket No],NPS_Data[[#This Row],[Ticket No]])&gt;1,"Duplicate","OK")</f>
        <v>OK</v>
      </c>
      <c r="Z214" s="2" t="str">
        <f ca="1">IF(NPS_Data[[#This Row],[RemarkHash]]="","OK",
   IF(COUNTIF(NPS_Data[RemarkHash],NPS_Data[[#This Row],[RemarkHash]])&gt;1,"RepeatedRemark","OK"))</f>
        <v>RepeatedRemark</v>
      </c>
      <c r="AA214" s="17">
        <f>IF( AND( ISNUMBER(NPS_Data[[#This Row],[CreatedDateTime]]), ISNUMBER(NPS_Data[[#This Row],[ResolvedDateTime]]) ), (NPS_Data[[#This Row],[ResolvedDateTime]] - NPS_Data[[#This Row],[CreatedDateTime]]) * 24, 0 )</f>
        <v>118.67166666663252</v>
      </c>
      <c r="AB214" s="65" t="str">
        <f>IF(NOT(ISNA(NPS_Data[[#This Row],[CreatedDateTime]])),
   YEAR(NPS_Data[[#This Row],[CreatedDateTime]]) &amp; "-" &amp; TEXT(WEEKNUM(NPS_Data[[#This Row],[CreatedDateTime]],2),"00"),
   "")</f>
        <v>2025-33</v>
      </c>
      <c r="AC214" s="14" t="str">
        <f>IF(NOT(ISNA(NPS_Data[[#This Row],[CreatedDateTime]])), TEXT(NPS_Data[[#This Row],[CreatedDateTime]],"YYYY-MM"), "")</f>
        <v>2025-08</v>
      </c>
      <c r="AD214" s="14" t="str">
        <f>IF(NOT(ISNUMBER(NPS_Data[[#This Row],[ResolutionHours]])),"Open", IF(NPS_Data[[#This Row],[ResolutionHours]]&gt;72,"Breach","OK"))</f>
        <v>Breach</v>
      </c>
      <c r="AE214" s="14">
        <f>IF(AND(ISNUMBER(NPS_Data[[#This Row],[CreatedDateTime]]), ISNUMBER(NPS_Data[[#This Row],[ResolvedDateTime]])), 1, 0)</f>
        <v>1</v>
      </c>
      <c r="AF214" s="48" t="str">
        <f>IF(NOT(ISNA(NPS_Data[[#This Row],[CreatedDateTime]])), TEXT(NPS_Data[[#This Row],[CreatedDateTime]],"dddd"), "")</f>
        <v>Sunday</v>
      </c>
    </row>
    <row r="215" spans="1:32" x14ac:dyDescent="0.25">
      <c r="A215" s="2" t="s">
        <v>1220</v>
      </c>
      <c r="B215" s="2" t="s">
        <v>78</v>
      </c>
      <c r="C215" s="2" t="s">
        <v>1221</v>
      </c>
      <c r="D21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45903.434687499997</v>
      </c>
      <c r="E215" s="2" t="s">
        <v>71</v>
      </c>
      <c r="F215" s="2" t="s">
        <v>36</v>
      </c>
      <c r="G215" s="2" t="s">
        <v>1222</v>
      </c>
      <c r="H215"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45912.692314814813</v>
      </c>
      <c r="I215" s="2" t="s">
        <v>23</v>
      </c>
      <c r="J215" s="2" t="s">
        <v>23</v>
      </c>
      <c r="K215" s="2" t="s">
        <v>56</v>
      </c>
      <c r="L215" s="2" t="s">
        <v>1223</v>
      </c>
      <c r="M215" s="2" t="s">
        <v>1224</v>
      </c>
      <c r="N215" s="2" t="s">
        <v>100</v>
      </c>
      <c r="O215" s="2" t="s">
        <v>177</v>
      </c>
      <c r="P215" s="2" t="s">
        <v>68</v>
      </c>
      <c r="Q215" s="3">
        <v>1</v>
      </c>
      <c r="R215" s="2" t="s">
        <v>30</v>
      </c>
      <c r="S215" s="2" t="s">
        <v>31</v>
      </c>
      <c r="T215" s="2" t="str">
        <f>IF(OR(NPS_Data[[#This Row],[CreatedDateTime]]="",NPS_Data[[#This Row],[Assigned To]]="",NPS_Data[[#This Row],[Issue 2 - NPS]]="",NPS_Data[[#This Row],[Program Name]]=""),"Missing","OK")</f>
        <v>OK</v>
      </c>
      <c r="U215" s="2" t="str">
        <f>IF(
  AND(NPS_Data[[#This Row],[Status]]="Complete", OR(ISNA(NPS_Data[[#This Row],[ResolvedDateTime]]), ISBLANK(NPS_Data[[#This Row],[ResolvedDateTime]]))),
  "CompleteNoResolved",
  IF(
    AND(NPS_Data[[#This Row],[Status]]="Pending", NPS_Data[[#This Row],[Sub Status]]="Solved"),
    "PendingButSolved",
    "OK"
  )
)</f>
        <v>OK</v>
      </c>
      <c r="V21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15" s="2" t="str">
        <f>IFERROR(TRIM(CLEAN(NPS_Data[[#This Row],[Ticket All Remarks]])),"")</f>
        <v>Sales promised 100% job guarantee within 6 months but placement team says no such commitment exists. Feel misled about course outcomes. || Resolution: Clarified placement support terms and provided additional career assistance</v>
      </c>
      <c r="X215" s="2" cm="1">
        <f t="array" aca="1" ref="X215" ca="1">IF(NPS_Data[[#This Row],[CleanRemark]]="","",
   SUMPRODUCT(CODE(MID(NPS_Data[[#This Row],[CleanRemark]],ROW(INDIRECT("1:"&amp;LEN(NPS_Data[[#This Row],[CleanRemark]]))),1))))</f>
        <v>21446</v>
      </c>
      <c r="Y215" s="2" t="str">
        <f>IF(COUNTIF(NPS_Data[Ticket No],NPS_Data[[#This Row],[Ticket No]])&gt;1,"Duplicate","OK")</f>
        <v>OK</v>
      </c>
      <c r="Z215" s="2" t="str">
        <f ca="1">IF(NPS_Data[[#This Row],[RemarkHash]]="","OK",
   IF(COUNTIF(NPS_Data[RemarkHash],NPS_Data[[#This Row],[RemarkHash]])&gt;1,"RepeatedRemark","OK"))</f>
        <v>RepeatedRemark</v>
      </c>
      <c r="AA215" s="17">
        <f>IF( AND( ISNUMBER(NPS_Data[[#This Row],[CreatedDateTime]]), ISNUMBER(NPS_Data[[#This Row],[ResolvedDateTime]]) ), (NPS_Data[[#This Row],[ResolvedDateTime]] - NPS_Data[[#This Row],[CreatedDateTime]]) * 24, 0 )</f>
        <v>222.18305555556435</v>
      </c>
      <c r="AB215" s="65" t="str">
        <f>IF(NOT(ISNA(NPS_Data[[#This Row],[CreatedDateTime]])),
   YEAR(NPS_Data[[#This Row],[CreatedDateTime]]) &amp; "-" &amp; TEXT(WEEKNUM(NPS_Data[[#This Row],[CreatedDateTime]],2),"00"),
   "")</f>
        <v>2025-36</v>
      </c>
      <c r="AC215" s="14" t="str">
        <f>IF(NOT(ISNA(NPS_Data[[#This Row],[CreatedDateTime]])), TEXT(NPS_Data[[#This Row],[CreatedDateTime]],"YYYY-MM"), "")</f>
        <v>2025-09</v>
      </c>
      <c r="AD215" s="14" t="str">
        <f>IF(NOT(ISNUMBER(NPS_Data[[#This Row],[ResolutionHours]])),"Open", IF(NPS_Data[[#This Row],[ResolutionHours]]&gt;72,"Breach","OK"))</f>
        <v>Breach</v>
      </c>
      <c r="AE215" s="14">
        <f>IF(AND(ISNUMBER(NPS_Data[[#This Row],[CreatedDateTime]]), ISNUMBER(NPS_Data[[#This Row],[ResolvedDateTime]])), 1, 0)</f>
        <v>1</v>
      </c>
      <c r="AF215" s="48" t="str">
        <f>IF(NOT(ISNA(NPS_Data[[#This Row],[CreatedDateTime]])), TEXT(NPS_Data[[#This Row],[CreatedDateTime]],"dddd"), "")</f>
        <v>Wednesday</v>
      </c>
    </row>
    <row r="216" spans="1:32" x14ac:dyDescent="0.25">
      <c r="A216" s="2" t="s">
        <v>1225</v>
      </c>
      <c r="B216" s="2" t="s">
        <v>596</v>
      </c>
      <c r="C216" s="2" t="s">
        <v>1226</v>
      </c>
      <c r="D21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45881.460034722222</v>
      </c>
      <c r="H216"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216" s="2" t="s">
        <v>23</v>
      </c>
      <c r="J216" s="2" t="s">
        <v>23</v>
      </c>
      <c r="K216" s="2" t="s">
        <v>88</v>
      </c>
      <c r="L216" s="2" t="s">
        <v>1227</v>
      </c>
      <c r="M216" s="2" t="s">
        <v>1228</v>
      </c>
      <c r="N216" s="2" t="s">
        <v>633</v>
      </c>
      <c r="O216" s="2" t="s">
        <v>177</v>
      </c>
      <c r="P216" s="2" t="s">
        <v>132</v>
      </c>
      <c r="Q216" s="3">
        <v>5</v>
      </c>
      <c r="R216" s="2" t="s">
        <v>49</v>
      </c>
      <c r="S216" s="2" t="s">
        <v>133</v>
      </c>
      <c r="T216" s="2" t="str">
        <f>IF(OR(NPS_Data[[#This Row],[CreatedDateTime]]="",NPS_Data[[#This Row],[Assigned To]]="",NPS_Data[[#This Row],[Issue 2 - NPS]]="",NPS_Data[[#This Row],[Program Name]]=""),"Missing","OK")</f>
        <v>Missing</v>
      </c>
      <c r="U216" s="2" t="str">
        <f>IF(
  AND(NPS_Data[[#This Row],[Status]]="Complete", OR(ISNA(NPS_Data[[#This Row],[ResolvedDateTime]]), ISBLANK(NPS_Data[[#This Row],[ResolvedDateTime]]))),
  "CompleteNoResolved",
  IF(
    AND(NPS_Data[[#This Row],[Status]]="Pending", NPS_Data[[#This Row],[Sub Status]]="Solved"),
    "PendingButSolved",
    "OK"
  )
)</f>
        <v>OK</v>
      </c>
      <c r="V21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16" s="2" t="str">
        <f>IFERROR(TRIM(CLEAN(NPS_Data[[#This Row],[Ticket All Remarks]])),"")</f>
        <v>Placement team requires 2+ years experience but won't help freshers. Catch-22 situation where experience needed for placement but placement needed for experience. || Resolution: Launched fresh graduate placement track with entry-level focused companies</v>
      </c>
      <c r="X216" s="2" cm="1">
        <f t="array" aca="1" ref="X216" ca="1">IF(NPS_Data[[#This Row],[CleanRemark]]="","",
   SUMPRODUCT(CODE(MID(NPS_Data[[#This Row],[CleanRemark]],ROW(INDIRECT("1:"&amp;LEN(NPS_Data[[#This Row],[CleanRemark]]))),1))))</f>
        <v>23910</v>
      </c>
      <c r="Y216" s="2" t="str">
        <f>IF(COUNTIF(NPS_Data[Ticket No],NPS_Data[[#This Row],[Ticket No]])&gt;1,"Duplicate","OK")</f>
        <v>OK</v>
      </c>
      <c r="Z216" s="2" t="str">
        <f ca="1">IF(NPS_Data[[#This Row],[RemarkHash]]="","OK",
   IF(COUNTIF(NPS_Data[RemarkHash],NPS_Data[[#This Row],[RemarkHash]])&gt;1,"RepeatedRemark","OK"))</f>
        <v>RepeatedRemark</v>
      </c>
      <c r="AA216" s="17">
        <f>IF( AND( ISNUMBER(NPS_Data[[#This Row],[CreatedDateTime]]), ISNUMBER(NPS_Data[[#This Row],[ResolvedDateTime]]) ), (NPS_Data[[#This Row],[ResolvedDateTime]] - NPS_Data[[#This Row],[CreatedDateTime]]) * 24, 0 )</f>
        <v>0</v>
      </c>
      <c r="AB216" s="65" t="str">
        <f>IF(NOT(ISNA(NPS_Data[[#This Row],[CreatedDateTime]])),
   YEAR(NPS_Data[[#This Row],[CreatedDateTime]]) &amp; "-" &amp; TEXT(WEEKNUM(NPS_Data[[#This Row],[CreatedDateTime]],2),"00"),
   "")</f>
        <v>2025-33</v>
      </c>
      <c r="AC216" s="14" t="str">
        <f>IF(NOT(ISNA(NPS_Data[[#This Row],[CreatedDateTime]])), TEXT(NPS_Data[[#This Row],[CreatedDateTime]],"YYYY-MM"), "")</f>
        <v>2025-08</v>
      </c>
      <c r="AD216" s="14" t="str">
        <f>IF(NOT(ISNUMBER(NPS_Data[[#This Row],[ResolutionHours]])),"Open", IF(NPS_Data[[#This Row],[ResolutionHours]]&gt;72,"Breach","OK"))</f>
        <v>OK</v>
      </c>
      <c r="AE216" s="14">
        <f>IF(AND(ISNUMBER(NPS_Data[[#This Row],[CreatedDateTime]]), ISNUMBER(NPS_Data[[#This Row],[ResolvedDateTime]])), 1, 0)</f>
        <v>0</v>
      </c>
      <c r="AF216" s="48" t="str">
        <f>IF(NOT(ISNA(NPS_Data[[#This Row],[CreatedDateTime]])), TEXT(NPS_Data[[#This Row],[CreatedDateTime]],"dddd"), "")</f>
        <v>Tuesday</v>
      </c>
    </row>
    <row r="217" spans="1:32" x14ac:dyDescent="0.25">
      <c r="A217" s="2" t="s">
        <v>1229</v>
      </c>
      <c r="B217" s="2" t="s">
        <v>299</v>
      </c>
      <c r="C217" s="2" t="s">
        <v>1230</v>
      </c>
      <c r="D217"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45890.649537037039</v>
      </c>
      <c r="E217" s="2" t="s">
        <v>44</v>
      </c>
      <c r="H217"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217" s="2" t="s">
        <v>23</v>
      </c>
      <c r="J217" s="2" t="s">
        <v>23</v>
      </c>
      <c r="K217" s="2" t="s">
        <v>56</v>
      </c>
      <c r="L217" s="2" t="s">
        <v>1231</v>
      </c>
      <c r="M217" s="2" t="s">
        <v>1232</v>
      </c>
      <c r="N217" s="2" t="s">
        <v>277</v>
      </c>
      <c r="O217" s="2" t="s">
        <v>28</v>
      </c>
      <c r="P217" s="2" t="s">
        <v>29</v>
      </c>
      <c r="Q217" s="3">
        <v>4</v>
      </c>
      <c r="R217" s="2" t="s">
        <v>49</v>
      </c>
      <c r="S217" s="2" t="s">
        <v>133</v>
      </c>
      <c r="T217" s="2" t="str">
        <f>IF(OR(NPS_Data[[#This Row],[CreatedDateTime]]="",NPS_Data[[#This Row],[Assigned To]]="",NPS_Data[[#This Row],[Issue 2 - NPS]]="",NPS_Data[[#This Row],[Program Name]]=""),"Missing","OK")</f>
        <v>OK</v>
      </c>
      <c r="U217" s="2" t="str">
        <f>IF(
  AND(NPS_Data[[#This Row],[Status]]="Complete", OR(ISNA(NPS_Data[[#This Row],[ResolvedDateTime]]), ISBLANK(NPS_Data[[#This Row],[ResolvedDateTime]]))),
  "CompleteNoResolved",
  IF(
    AND(NPS_Data[[#This Row],[Status]]="Pending", NPS_Data[[#This Row],[Sub Status]]="Solved"),
    "PendingButSolved",
    "OK"
  )
)</f>
        <v>OK</v>
      </c>
      <c r="V217"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17" s="2" t="str">
        <f>IFERROR(TRIM(CLEAN(NPS_Data[[#This Row],[Ticket All Remarks]])),"")</f>
        <v>Python assignment auto-grading system has bugs. Correct solutions marked wrong due to output formatting differences. Frustrating when code logic is perfect. || Resolution: Fixed grading system and manually reviewed affected submissions</v>
      </c>
      <c r="X217" s="2" cm="1">
        <f t="array" aca="1" ref="X217" ca="1">IF(NPS_Data[[#This Row],[CleanRemark]]="","",
   SUMPRODUCT(CODE(MID(NPS_Data[[#This Row],[CleanRemark]],ROW(INDIRECT("1:"&amp;LEN(NPS_Data[[#This Row],[CleanRemark]]))),1))))</f>
        <v>22713</v>
      </c>
      <c r="Y217" s="2" t="str">
        <f>IF(COUNTIF(NPS_Data[Ticket No],NPS_Data[[#This Row],[Ticket No]])&gt;1,"Duplicate","OK")</f>
        <v>OK</v>
      </c>
      <c r="Z217" s="2" t="str">
        <f ca="1">IF(NPS_Data[[#This Row],[RemarkHash]]="","OK",
   IF(COUNTIF(NPS_Data[RemarkHash],NPS_Data[[#This Row],[RemarkHash]])&gt;1,"RepeatedRemark","OK"))</f>
        <v>RepeatedRemark</v>
      </c>
      <c r="AA217" s="17">
        <f>IF( AND( ISNUMBER(NPS_Data[[#This Row],[CreatedDateTime]]), ISNUMBER(NPS_Data[[#This Row],[ResolvedDateTime]]) ), (NPS_Data[[#This Row],[ResolvedDateTime]] - NPS_Data[[#This Row],[CreatedDateTime]]) * 24, 0 )</f>
        <v>0</v>
      </c>
      <c r="AB217" s="65" t="str">
        <f>IF(NOT(ISNA(NPS_Data[[#This Row],[CreatedDateTime]])),
   YEAR(NPS_Data[[#This Row],[CreatedDateTime]]) &amp; "-" &amp; TEXT(WEEKNUM(NPS_Data[[#This Row],[CreatedDateTime]],2),"00"),
   "")</f>
        <v>2025-34</v>
      </c>
      <c r="AC217" s="14" t="str">
        <f>IF(NOT(ISNA(NPS_Data[[#This Row],[CreatedDateTime]])), TEXT(NPS_Data[[#This Row],[CreatedDateTime]],"YYYY-MM"), "")</f>
        <v>2025-08</v>
      </c>
      <c r="AD217" s="14" t="str">
        <f>IF(NOT(ISNUMBER(NPS_Data[[#This Row],[ResolutionHours]])),"Open", IF(NPS_Data[[#This Row],[ResolutionHours]]&gt;72,"Breach","OK"))</f>
        <v>OK</v>
      </c>
      <c r="AE217" s="14">
        <f>IF(AND(ISNUMBER(NPS_Data[[#This Row],[CreatedDateTime]]), ISNUMBER(NPS_Data[[#This Row],[ResolvedDateTime]])), 1, 0)</f>
        <v>0</v>
      </c>
      <c r="AF217" s="48" t="str">
        <f>IF(NOT(ISNA(NPS_Data[[#This Row],[CreatedDateTime]])), TEXT(NPS_Data[[#This Row],[CreatedDateTime]],"dddd"), "")</f>
        <v>Thursday</v>
      </c>
    </row>
    <row r="218" spans="1:32" x14ac:dyDescent="0.25">
      <c r="A218" s="2" t="s">
        <v>1233</v>
      </c>
      <c r="B218" s="2" t="s">
        <v>372</v>
      </c>
      <c r="C218" s="2" t="s">
        <v>1234</v>
      </c>
      <c r="D218"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45920.784097222226</v>
      </c>
      <c r="E218" s="2" t="s">
        <v>44</v>
      </c>
      <c r="F218" s="2" t="s">
        <v>161</v>
      </c>
      <c r="G218" s="2" t="s">
        <v>1235</v>
      </c>
      <c r="H218"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45927.464999999997</v>
      </c>
      <c r="I218" s="2" t="s">
        <v>23</v>
      </c>
      <c r="J218" s="2" t="s">
        <v>23</v>
      </c>
      <c r="K218" s="2" t="s">
        <v>24</v>
      </c>
      <c r="L218" s="2" t="s">
        <v>1236</v>
      </c>
      <c r="M218" s="2" t="s">
        <v>1237</v>
      </c>
      <c r="N218" s="2" t="s">
        <v>1013</v>
      </c>
      <c r="O218" s="2" t="s">
        <v>28</v>
      </c>
      <c r="P218" s="2" t="s">
        <v>125</v>
      </c>
      <c r="Q218" s="3">
        <v>8</v>
      </c>
      <c r="R218" s="2" t="s">
        <v>30</v>
      </c>
      <c r="S218" s="2" t="s">
        <v>31</v>
      </c>
      <c r="T218" s="2" t="str">
        <f>IF(OR(NPS_Data[[#This Row],[CreatedDateTime]]="",NPS_Data[[#This Row],[Assigned To]]="",NPS_Data[[#This Row],[Issue 2 - NPS]]="",NPS_Data[[#This Row],[Program Name]]=""),"Missing","OK")</f>
        <v>OK</v>
      </c>
      <c r="U218" s="2" t="str">
        <f>IF(
  AND(NPS_Data[[#This Row],[Status]]="Complete", OR(ISNA(NPS_Data[[#This Row],[ResolvedDateTime]]), ISBLANK(NPS_Data[[#This Row],[ResolvedDateTime]]))),
  "CompleteNoResolved",
  IF(
    AND(NPS_Data[[#This Row],[Status]]="Pending", NPS_Data[[#This Row],[Sub Status]]="Solved"),
    "PendingButSolved",
    "OK"
  )
)</f>
        <v>OK</v>
      </c>
      <c r="V218"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18" s="2" t="str">
        <f>IFERROR(TRIM(CLEAN(NPS_Data[[#This Row],[Ticket All Remarks]])),"")</f>
        <v>TA Rohit takes 2-3 days to respond to doubt resolution requests. Critical errors in assignments go unresolved, affecting submission deadlines. || Resolution: Implemented 24-hour response SLA for TAs and hired additional support staff</v>
      </c>
      <c r="X218" s="2" cm="1">
        <f t="array" aca="1" ref="X218" ca="1">IF(NPS_Data[[#This Row],[CleanRemark]]="","",
   SUMPRODUCT(CODE(MID(NPS_Data[[#This Row],[CleanRemark]],ROW(INDIRECT("1:"&amp;LEN(NPS_Data[[#This Row],[CleanRemark]]))),1))))</f>
        <v>21891</v>
      </c>
      <c r="Y218" s="2" t="str">
        <f>IF(COUNTIF(NPS_Data[Ticket No],NPS_Data[[#This Row],[Ticket No]])&gt;1,"Duplicate","OK")</f>
        <v>OK</v>
      </c>
      <c r="Z218" s="2" t="str">
        <f ca="1">IF(NPS_Data[[#This Row],[RemarkHash]]="","OK",
   IF(COUNTIF(NPS_Data[RemarkHash],NPS_Data[[#This Row],[RemarkHash]])&gt;1,"RepeatedRemark","OK"))</f>
        <v>RepeatedRemark</v>
      </c>
      <c r="AA218" s="17">
        <f>IF( AND( ISNUMBER(NPS_Data[[#This Row],[CreatedDateTime]]), ISNUMBER(NPS_Data[[#This Row],[ResolvedDateTime]]) ), (NPS_Data[[#This Row],[ResolvedDateTime]] - NPS_Data[[#This Row],[CreatedDateTime]]) * 24, 0 )</f>
        <v>160.3416666664998</v>
      </c>
      <c r="AB218" s="65" t="str">
        <f>IF(NOT(ISNA(NPS_Data[[#This Row],[CreatedDateTime]])),
   YEAR(NPS_Data[[#This Row],[CreatedDateTime]]) &amp; "-" &amp; TEXT(WEEKNUM(NPS_Data[[#This Row],[CreatedDateTime]],2),"00"),
   "")</f>
        <v>2025-38</v>
      </c>
      <c r="AC218" s="14" t="str">
        <f>IF(NOT(ISNA(NPS_Data[[#This Row],[CreatedDateTime]])), TEXT(NPS_Data[[#This Row],[CreatedDateTime]],"YYYY-MM"), "")</f>
        <v>2025-09</v>
      </c>
      <c r="AD218" s="14" t="str">
        <f>IF(NOT(ISNUMBER(NPS_Data[[#This Row],[ResolutionHours]])),"Open", IF(NPS_Data[[#This Row],[ResolutionHours]]&gt;72,"Breach","OK"))</f>
        <v>Breach</v>
      </c>
      <c r="AE218" s="14">
        <f>IF(AND(ISNUMBER(NPS_Data[[#This Row],[CreatedDateTime]]), ISNUMBER(NPS_Data[[#This Row],[ResolvedDateTime]])), 1, 0)</f>
        <v>1</v>
      </c>
      <c r="AF218" s="48" t="str">
        <f>IF(NOT(ISNA(NPS_Data[[#This Row],[CreatedDateTime]])), TEXT(NPS_Data[[#This Row],[CreatedDateTime]],"dddd"), "")</f>
        <v>Saturday</v>
      </c>
    </row>
    <row r="219" spans="1:32" x14ac:dyDescent="0.25">
      <c r="A219" s="2" t="s">
        <v>1238</v>
      </c>
      <c r="B219" s="2" t="s">
        <v>94</v>
      </c>
      <c r="C219" s="2" t="s">
        <v>1239</v>
      </c>
      <c r="D219"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45901.776886574073</v>
      </c>
      <c r="E219" s="2" t="s">
        <v>104</v>
      </c>
      <c r="F219" s="2" t="s">
        <v>280</v>
      </c>
      <c r="G219" s="2" t="s">
        <v>1240</v>
      </c>
      <c r="H219"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45909.382835648146</v>
      </c>
      <c r="I219" s="2" t="s">
        <v>23</v>
      </c>
      <c r="J219" s="2" t="s">
        <v>23</v>
      </c>
      <c r="K219" s="2" t="s">
        <v>88</v>
      </c>
      <c r="L219" s="2" t="s">
        <v>1241</v>
      </c>
      <c r="M219" s="2" t="s">
        <v>1242</v>
      </c>
      <c r="N219" s="2" t="s">
        <v>139</v>
      </c>
      <c r="O219" s="2" t="s">
        <v>41</v>
      </c>
      <c r="P219" s="2" t="s">
        <v>92</v>
      </c>
      <c r="Q219" s="3">
        <v>9</v>
      </c>
      <c r="R219" s="2" t="s">
        <v>30</v>
      </c>
      <c r="S219" s="2" t="s">
        <v>31</v>
      </c>
      <c r="T219" s="2" t="str">
        <f>IF(OR(NPS_Data[[#This Row],[CreatedDateTime]]="",NPS_Data[[#This Row],[Assigned To]]="",NPS_Data[[#This Row],[Issue 2 - NPS]]="",NPS_Data[[#This Row],[Program Name]]=""),"Missing","OK")</f>
        <v>OK</v>
      </c>
      <c r="U219" s="2" t="str">
        <f>IF(
  AND(NPS_Data[[#This Row],[Status]]="Complete", OR(ISNA(NPS_Data[[#This Row],[ResolvedDateTime]]), ISBLANK(NPS_Data[[#This Row],[ResolvedDateTime]]))),
  "CompleteNoResolved",
  IF(
    AND(NPS_Data[[#This Row],[Status]]="Pending", NPS_Data[[#This Row],[Sub Status]]="Solved"),
    "PendingButSolved",
    "OK"
  )
)</f>
        <v>OK</v>
      </c>
      <c r="V219"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19" s="2" t="str">
        <f>IFERROR(TRIM(CLEAN(NPS_Data[[#This Row],[Ticket All Remarks]])),"")</f>
        <v>Interested in international opportunities but confused about visa processes, skill requirements, and cultural preparation for US/Canada markets. || Resolution: Connected with professionals who successfully relocated internationally</v>
      </c>
      <c r="X219" s="2" cm="1">
        <f t="array" aca="1" ref="X219" ca="1">IF(NPS_Data[[#This Row],[CleanRemark]]="","",
   SUMPRODUCT(CODE(MID(NPS_Data[[#This Row],[CleanRemark]],ROW(INDIRECT("1:"&amp;LEN(NPS_Data[[#This Row],[CleanRemark]]))),1))))</f>
        <v>22668</v>
      </c>
      <c r="Y219" s="2" t="str">
        <f>IF(COUNTIF(NPS_Data[Ticket No],NPS_Data[[#This Row],[Ticket No]])&gt;1,"Duplicate","OK")</f>
        <v>OK</v>
      </c>
      <c r="Z219" s="2" t="str">
        <f ca="1">IF(NPS_Data[[#This Row],[RemarkHash]]="","OK",
   IF(COUNTIF(NPS_Data[RemarkHash],NPS_Data[[#This Row],[RemarkHash]])&gt;1,"RepeatedRemark","OK"))</f>
        <v>RepeatedRemark</v>
      </c>
      <c r="AA219" s="17">
        <f>IF( AND( ISNUMBER(NPS_Data[[#This Row],[CreatedDateTime]]), ISNUMBER(NPS_Data[[#This Row],[ResolvedDateTime]]) ), (NPS_Data[[#This Row],[ResolvedDateTime]] - NPS_Data[[#This Row],[CreatedDateTime]]) * 24, 0 )</f>
        <v>182.54277777776588</v>
      </c>
      <c r="AB219" s="65" t="str">
        <f>IF(NOT(ISNA(NPS_Data[[#This Row],[CreatedDateTime]])),
   YEAR(NPS_Data[[#This Row],[CreatedDateTime]]) &amp; "-" &amp; TEXT(WEEKNUM(NPS_Data[[#This Row],[CreatedDateTime]],2),"00"),
   "")</f>
        <v>2025-36</v>
      </c>
      <c r="AC219" s="14" t="str">
        <f>IF(NOT(ISNA(NPS_Data[[#This Row],[CreatedDateTime]])), TEXT(NPS_Data[[#This Row],[CreatedDateTime]],"YYYY-MM"), "")</f>
        <v>2025-09</v>
      </c>
      <c r="AD219" s="14" t="str">
        <f>IF(NOT(ISNUMBER(NPS_Data[[#This Row],[ResolutionHours]])),"Open", IF(NPS_Data[[#This Row],[ResolutionHours]]&gt;72,"Breach","OK"))</f>
        <v>Breach</v>
      </c>
      <c r="AE219" s="14">
        <f>IF(AND(ISNUMBER(NPS_Data[[#This Row],[CreatedDateTime]]), ISNUMBER(NPS_Data[[#This Row],[ResolvedDateTime]])), 1, 0)</f>
        <v>1</v>
      </c>
      <c r="AF219" s="48" t="str">
        <f>IF(NOT(ISNA(NPS_Data[[#This Row],[CreatedDateTime]])), TEXT(NPS_Data[[#This Row],[CreatedDateTime]],"dddd"), "")</f>
        <v>Monday</v>
      </c>
    </row>
    <row r="220" spans="1:32" x14ac:dyDescent="0.25">
      <c r="A220" s="2" t="s">
        <v>1243</v>
      </c>
      <c r="B220" s="2" t="s">
        <v>191</v>
      </c>
      <c r="C220" s="2" t="s">
        <v>1244</v>
      </c>
      <c r="D220"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45900.554085648146</v>
      </c>
      <c r="E220" s="2" t="s">
        <v>87</v>
      </c>
      <c r="H220"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220" s="2" t="s">
        <v>23</v>
      </c>
      <c r="J220" s="2" t="s">
        <v>23</v>
      </c>
      <c r="K220" s="2" t="s">
        <v>24</v>
      </c>
      <c r="L220" s="2" t="s">
        <v>1245</v>
      </c>
      <c r="M220" s="2" t="s">
        <v>1246</v>
      </c>
      <c r="N220" s="2" t="s">
        <v>27</v>
      </c>
      <c r="O220" s="2" t="s">
        <v>28</v>
      </c>
      <c r="P220" s="2" t="s">
        <v>29</v>
      </c>
      <c r="Q220" s="3">
        <v>7</v>
      </c>
      <c r="R220" s="2" t="s">
        <v>49</v>
      </c>
      <c r="S220" s="2" t="s">
        <v>116</v>
      </c>
      <c r="T220" s="2" t="str">
        <f>IF(OR(NPS_Data[[#This Row],[CreatedDateTime]]="",NPS_Data[[#This Row],[Assigned To]]="",NPS_Data[[#This Row],[Issue 2 - NPS]]="",NPS_Data[[#This Row],[Program Name]]=""),"Missing","OK")</f>
        <v>OK</v>
      </c>
      <c r="U220" s="2" t="str">
        <f>IF(
  AND(NPS_Data[[#This Row],[Status]]="Complete", OR(ISNA(NPS_Data[[#This Row],[ResolvedDateTime]]), ISBLANK(NPS_Data[[#This Row],[ResolvedDateTime]]))),
  "CompleteNoResolved",
  IF(
    AND(NPS_Data[[#This Row],[Status]]="Pending", NPS_Data[[#This Row],[Sub Status]]="Solved"),
    "PendingButSolved",
    "OK"
  )
)</f>
        <v>OK</v>
      </c>
      <c r="V220"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20" s="2" t="str">
        <f>IFERROR(TRIM(CLEAN(NPS_Data[[#This Row],[Ticket All Remarks]])),"")</f>
        <v>No code review feedback provided for assignments. Submitting working solutions but don't know if following best practices or industry standards. || Resolution: Introduced mandatory code review sessions with senior developers</v>
      </c>
      <c r="X220" s="2" cm="1">
        <f t="array" aca="1" ref="X220" ca="1">IF(NPS_Data[[#This Row],[CleanRemark]]="","",
   SUMPRODUCT(CODE(MID(NPS_Data[[#This Row],[CleanRemark]],ROW(INDIRECT("1:"&amp;LEN(NPS_Data[[#This Row],[CleanRemark]]))),1))))</f>
        <v>21754</v>
      </c>
      <c r="Y220" s="2" t="str">
        <f>IF(COUNTIF(NPS_Data[Ticket No],NPS_Data[[#This Row],[Ticket No]])&gt;1,"Duplicate","OK")</f>
        <v>OK</v>
      </c>
      <c r="Z220" s="2" t="str">
        <f ca="1">IF(NPS_Data[[#This Row],[RemarkHash]]="","OK",
   IF(COUNTIF(NPS_Data[RemarkHash],NPS_Data[[#This Row],[RemarkHash]])&gt;1,"RepeatedRemark","OK"))</f>
        <v>RepeatedRemark</v>
      </c>
      <c r="AA220" s="17">
        <f>IF( AND( ISNUMBER(NPS_Data[[#This Row],[CreatedDateTime]]), ISNUMBER(NPS_Data[[#This Row],[ResolvedDateTime]]) ), (NPS_Data[[#This Row],[ResolvedDateTime]] - NPS_Data[[#This Row],[CreatedDateTime]]) * 24, 0 )</f>
        <v>0</v>
      </c>
      <c r="AB220" s="65" t="str">
        <f>IF(NOT(ISNA(NPS_Data[[#This Row],[CreatedDateTime]])),
   YEAR(NPS_Data[[#This Row],[CreatedDateTime]]) &amp; "-" &amp; TEXT(WEEKNUM(NPS_Data[[#This Row],[CreatedDateTime]],2),"00"),
   "")</f>
        <v>2025-35</v>
      </c>
      <c r="AC220" s="14" t="str">
        <f>IF(NOT(ISNA(NPS_Data[[#This Row],[CreatedDateTime]])), TEXT(NPS_Data[[#This Row],[CreatedDateTime]],"YYYY-MM"), "")</f>
        <v>2025-08</v>
      </c>
      <c r="AD220" s="14" t="str">
        <f>IF(NOT(ISNUMBER(NPS_Data[[#This Row],[ResolutionHours]])),"Open", IF(NPS_Data[[#This Row],[ResolutionHours]]&gt;72,"Breach","OK"))</f>
        <v>OK</v>
      </c>
      <c r="AE220" s="14">
        <f>IF(AND(ISNUMBER(NPS_Data[[#This Row],[CreatedDateTime]]), ISNUMBER(NPS_Data[[#This Row],[ResolvedDateTime]])), 1, 0)</f>
        <v>0</v>
      </c>
      <c r="AF220" s="48" t="str">
        <f>IF(NOT(ISNA(NPS_Data[[#This Row],[CreatedDateTime]])), TEXT(NPS_Data[[#This Row],[CreatedDateTime]],"dddd"), "")</f>
        <v>Sunday</v>
      </c>
    </row>
    <row r="221" spans="1:32" x14ac:dyDescent="0.25">
      <c r="A221" s="2" t="s">
        <v>1247</v>
      </c>
      <c r="B221" s="2" t="s">
        <v>413</v>
      </c>
      <c r="C221" s="2" t="s">
        <v>1248</v>
      </c>
      <c r="D221"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45917.676365740743</v>
      </c>
      <c r="E221" s="2" t="s">
        <v>104</v>
      </c>
      <c r="F221" s="2" t="s">
        <v>374</v>
      </c>
      <c r="G221" s="2" t="s">
        <v>1249</v>
      </c>
      <c r="H221"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45923.573912037034</v>
      </c>
      <c r="I221" s="2" t="s">
        <v>23</v>
      </c>
      <c r="J221" s="2" t="s">
        <v>23</v>
      </c>
      <c r="K221" s="2" t="s">
        <v>38</v>
      </c>
      <c r="L221" s="2" t="s">
        <v>1250</v>
      </c>
      <c r="M221" s="2" t="s">
        <v>1251</v>
      </c>
      <c r="N221" s="2" t="s">
        <v>639</v>
      </c>
      <c r="O221" s="2" t="s">
        <v>28</v>
      </c>
      <c r="P221" s="2" t="s">
        <v>585</v>
      </c>
      <c r="Q221" s="3">
        <v>3</v>
      </c>
      <c r="R221" s="2" t="s">
        <v>30</v>
      </c>
      <c r="S221" s="2" t="s">
        <v>31</v>
      </c>
      <c r="T221" s="2" t="str">
        <f>IF(OR(NPS_Data[[#This Row],[CreatedDateTime]]="",NPS_Data[[#This Row],[Assigned To]]="",NPS_Data[[#This Row],[Issue 2 - NPS]]="",NPS_Data[[#This Row],[Program Name]]=""),"Missing","OK")</f>
        <v>OK</v>
      </c>
      <c r="U221" s="2" t="str">
        <f>IF(
  AND(NPS_Data[[#This Row],[Status]]="Complete", OR(ISNA(NPS_Data[[#This Row],[ResolvedDateTime]]), ISBLANK(NPS_Data[[#This Row],[ResolvedDateTime]]))),
  "CompleteNoResolved",
  IF(
    AND(NPS_Data[[#This Row],[Status]]="Pending", NPS_Data[[#This Row],[Sub Status]]="Solved"),
    "PendingButSolved",
    "OK"
  )
)</f>
        <v>OK</v>
      </c>
      <c r="V221"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21" s="2" t="str">
        <f>IFERROR(TRIM(CLEAN(NPS_Data[[#This Row],[Ticket All Remarks]])),"")</f>
        <v>Screen sharing resolution too low during coding sessions. Can't read code examples on mobile device. Zoom compression makes text blurry. || Resolution: Upgraded streaming quality to 1080p and optimized for mobile viewing</v>
      </c>
      <c r="X221" s="2" cm="1">
        <f t="array" aca="1" ref="X221" ca="1">IF(NPS_Data[[#This Row],[CleanRemark]]="","",
   SUMPRODUCT(CODE(MID(NPS_Data[[#This Row],[CleanRemark]],ROW(INDIRECT("1:"&amp;LEN(NPS_Data[[#This Row],[CleanRemark]]))),1))))</f>
        <v>20792</v>
      </c>
      <c r="Y221" s="2" t="str">
        <f>IF(COUNTIF(NPS_Data[Ticket No],NPS_Data[[#This Row],[Ticket No]])&gt;1,"Duplicate","OK")</f>
        <v>OK</v>
      </c>
      <c r="Z221" s="2" t="str">
        <f ca="1">IF(NPS_Data[[#This Row],[RemarkHash]]="","OK",
   IF(COUNTIF(NPS_Data[RemarkHash],NPS_Data[[#This Row],[RemarkHash]])&gt;1,"RepeatedRemark","OK"))</f>
        <v>RepeatedRemark</v>
      </c>
      <c r="AA221" s="17">
        <f>IF( AND( ISNUMBER(NPS_Data[[#This Row],[CreatedDateTime]]), ISNUMBER(NPS_Data[[#This Row],[ResolvedDateTime]]) ), (NPS_Data[[#This Row],[ResolvedDateTime]] - NPS_Data[[#This Row],[CreatedDateTime]]) * 24, 0 )</f>
        <v>141.54111111100065</v>
      </c>
      <c r="AB221" s="65" t="str">
        <f>IF(NOT(ISNA(NPS_Data[[#This Row],[CreatedDateTime]])),
   YEAR(NPS_Data[[#This Row],[CreatedDateTime]]) &amp; "-" &amp; TEXT(WEEKNUM(NPS_Data[[#This Row],[CreatedDateTime]],2),"00"),
   "")</f>
        <v>2025-38</v>
      </c>
      <c r="AC221" s="14" t="str">
        <f>IF(NOT(ISNA(NPS_Data[[#This Row],[CreatedDateTime]])), TEXT(NPS_Data[[#This Row],[CreatedDateTime]],"YYYY-MM"), "")</f>
        <v>2025-09</v>
      </c>
      <c r="AD221" s="14" t="str">
        <f>IF(NOT(ISNUMBER(NPS_Data[[#This Row],[ResolutionHours]])),"Open", IF(NPS_Data[[#This Row],[ResolutionHours]]&gt;72,"Breach","OK"))</f>
        <v>Breach</v>
      </c>
      <c r="AE221" s="14">
        <f>IF(AND(ISNUMBER(NPS_Data[[#This Row],[CreatedDateTime]]), ISNUMBER(NPS_Data[[#This Row],[ResolvedDateTime]])), 1, 0)</f>
        <v>1</v>
      </c>
      <c r="AF221" s="48" t="str">
        <f>IF(NOT(ISNA(NPS_Data[[#This Row],[CreatedDateTime]])), TEXT(NPS_Data[[#This Row],[CreatedDateTime]],"dddd"), "")</f>
        <v>Wednesday</v>
      </c>
    </row>
    <row r="222" spans="1:32" x14ac:dyDescent="0.25">
      <c r="A222" s="2" t="s">
        <v>1252</v>
      </c>
      <c r="B222" s="2" t="s">
        <v>396</v>
      </c>
      <c r="C222" s="2" t="s">
        <v>1253</v>
      </c>
      <c r="D222"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45874.536840277775</v>
      </c>
      <c r="E222" s="2" t="s">
        <v>35</v>
      </c>
      <c r="F222" s="2" t="s">
        <v>364</v>
      </c>
      <c r="G222" s="2" t="s">
        <v>1254</v>
      </c>
      <c r="H222"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45883.631122685183</v>
      </c>
      <c r="I222" s="2" t="s">
        <v>23</v>
      </c>
      <c r="J222" s="2" t="s">
        <v>23</v>
      </c>
      <c r="K222" s="2" t="s">
        <v>88</v>
      </c>
      <c r="L222" s="2" t="s">
        <v>1255</v>
      </c>
      <c r="M222" s="2" t="s">
        <v>1256</v>
      </c>
      <c r="N222" s="2" t="s">
        <v>67</v>
      </c>
      <c r="O222" s="2" t="s">
        <v>28</v>
      </c>
      <c r="P222" s="2" t="s">
        <v>68</v>
      </c>
      <c r="Q222" s="3">
        <v>6</v>
      </c>
      <c r="R222" s="2" t="s">
        <v>30</v>
      </c>
      <c r="S222" s="2" t="s">
        <v>31</v>
      </c>
      <c r="T222" s="2" t="str">
        <f>IF(OR(NPS_Data[[#This Row],[CreatedDateTime]]="",NPS_Data[[#This Row],[Assigned To]]="",NPS_Data[[#This Row],[Issue 2 - NPS]]="",NPS_Data[[#This Row],[Program Name]]=""),"Missing","OK")</f>
        <v>OK</v>
      </c>
      <c r="U222" s="2" t="str">
        <f>IF(
  AND(NPS_Data[[#This Row],[Status]]="Complete", OR(ISNA(NPS_Data[[#This Row],[ResolvedDateTime]]), ISBLANK(NPS_Data[[#This Row],[ResolvedDateTime]]))),
  "CompleteNoResolved",
  IF(
    AND(NPS_Data[[#This Row],[Status]]="Pending", NPS_Data[[#This Row],[Sub Status]]="Solved"),
    "PendingButSolved",
    "OK"
  )
)</f>
        <v>OK</v>
      </c>
      <c r="V222"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22" s="2" t="str">
        <f>IFERROR(TRIM(CLEAN(NPS_Data[[#This Row],[Ticket All Remarks]])),"")</f>
        <v>Told course would take 6 months but curriculum actually requires 10+ months for completion. Time commitment significantly underestimated. || Resolution: Updated course duration estimates and provided realistic timeline planning</v>
      </c>
      <c r="X222" s="2" cm="1">
        <f t="array" aca="1" ref="X222" ca="1">IF(NPS_Data[[#This Row],[CleanRemark]]="","",
   SUMPRODUCT(CODE(MID(NPS_Data[[#This Row],[CleanRemark]],ROW(INDIRECT("1:"&amp;LEN(NPS_Data[[#This Row],[CleanRemark]]))),1))))</f>
        <v>21945</v>
      </c>
      <c r="Y222" s="2" t="str">
        <f>IF(COUNTIF(NPS_Data[Ticket No],NPS_Data[[#This Row],[Ticket No]])&gt;1,"Duplicate","OK")</f>
        <v>OK</v>
      </c>
      <c r="Z222" s="2" t="str">
        <f ca="1">IF(NPS_Data[[#This Row],[RemarkHash]]="","OK",
   IF(COUNTIF(NPS_Data[RemarkHash],NPS_Data[[#This Row],[RemarkHash]])&gt;1,"RepeatedRemark","OK"))</f>
        <v>RepeatedRemark</v>
      </c>
      <c r="AA222" s="17">
        <f>IF( AND( ISNUMBER(NPS_Data[[#This Row],[CreatedDateTime]]), ISNUMBER(NPS_Data[[#This Row],[ResolvedDateTime]]) ), (NPS_Data[[#This Row],[ResolvedDateTime]] - NPS_Data[[#This Row],[CreatedDateTime]]) * 24, 0 )</f>
        <v>218.26277777779615</v>
      </c>
      <c r="AB222" s="65" t="str">
        <f>IF(NOT(ISNA(NPS_Data[[#This Row],[CreatedDateTime]])),
   YEAR(NPS_Data[[#This Row],[CreatedDateTime]]) &amp; "-" &amp; TEXT(WEEKNUM(NPS_Data[[#This Row],[CreatedDateTime]],2),"00"),
   "")</f>
        <v>2025-32</v>
      </c>
      <c r="AC222" s="14" t="str">
        <f>IF(NOT(ISNA(NPS_Data[[#This Row],[CreatedDateTime]])), TEXT(NPS_Data[[#This Row],[CreatedDateTime]],"YYYY-MM"), "")</f>
        <v>2025-08</v>
      </c>
      <c r="AD222" s="14" t="str">
        <f>IF(NOT(ISNUMBER(NPS_Data[[#This Row],[ResolutionHours]])),"Open", IF(NPS_Data[[#This Row],[ResolutionHours]]&gt;72,"Breach","OK"))</f>
        <v>Breach</v>
      </c>
      <c r="AE222" s="14">
        <f>IF(AND(ISNUMBER(NPS_Data[[#This Row],[CreatedDateTime]]), ISNUMBER(NPS_Data[[#This Row],[ResolvedDateTime]])), 1, 0)</f>
        <v>1</v>
      </c>
      <c r="AF222" s="48" t="str">
        <f>IF(NOT(ISNA(NPS_Data[[#This Row],[CreatedDateTime]])), TEXT(NPS_Data[[#This Row],[CreatedDateTime]],"dddd"), "")</f>
        <v>Tuesday</v>
      </c>
    </row>
    <row r="223" spans="1:32" x14ac:dyDescent="0.25">
      <c r="A223" s="2" t="s">
        <v>1257</v>
      </c>
      <c r="B223" s="2" t="s">
        <v>366</v>
      </c>
      <c r="C223" s="2" t="s">
        <v>1258</v>
      </c>
      <c r="D223"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45887.516331018516</v>
      </c>
      <c r="E223" s="2" t="s">
        <v>113</v>
      </c>
      <c r="F223" s="2" t="s">
        <v>813</v>
      </c>
      <c r="G223" s="2" t="s">
        <v>1259</v>
      </c>
      <c r="H223"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45895.726157407407</v>
      </c>
      <c r="I223" s="2" t="s">
        <v>23</v>
      </c>
      <c r="J223" s="2" t="s">
        <v>23</v>
      </c>
      <c r="K223" s="2" t="s">
        <v>24</v>
      </c>
      <c r="L223" s="2" t="s">
        <v>1260</v>
      </c>
      <c r="M223" s="2" t="s">
        <v>1261</v>
      </c>
      <c r="N223" s="2" t="s">
        <v>1013</v>
      </c>
      <c r="O223" s="2" t="s">
        <v>28</v>
      </c>
      <c r="P223" s="2" t="s">
        <v>125</v>
      </c>
      <c r="Q223" s="3">
        <v>7</v>
      </c>
      <c r="R223" s="2" t="s">
        <v>30</v>
      </c>
      <c r="S223" s="2" t="s">
        <v>31</v>
      </c>
      <c r="T223" s="2" t="str">
        <f>IF(OR(NPS_Data[[#This Row],[CreatedDateTime]]="",NPS_Data[[#This Row],[Assigned To]]="",NPS_Data[[#This Row],[Issue 2 - NPS]]="",NPS_Data[[#This Row],[Program Name]]=""),"Missing","OK")</f>
        <v>OK</v>
      </c>
      <c r="U223" s="2" t="str">
        <f>IF(
  AND(NPS_Data[[#This Row],[Status]]="Complete", OR(ISNA(NPS_Data[[#This Row],[ResolvedDateTime]]), ISBLANK(NPS_Data[[#This Row],[ResolvedDateTime]]))),
  "CompleteNoResolved",
  IF(
    AND(NPS_Data[[#This Row],[Status]]="Pending", NPS_Data[[#This Row],[Sub Status]]="Solved"),
    "PendingButSolved",
    "OK"
  )
)</f>
        <v>OK</v>
      </c>
      <c r="V223"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23" s="2" t="str">
        <f>IFERROR(TRIM(CLEAN(NPS_Data[[#This Row],[Ticket All Remarks]])),"")</f>
        <v>TA Rohit takes 2-3 days to respond to doubt resolution requests. Critical errors in assignments go unresolved, affecting submission deadlines. || Resolution: Implemented 24-hour response SLA for TAs and hired additional support staff</v>
      </c>
      <c r="X223" s="2" cm="1">
        <f t="array" aca="1" ref="X223" ca="1">IF(NPS_Data[[#This Row],[CleanRemark]]="","",
   SUMPRODUCT(CODE(MID(NPS_Data[[#This Row],[CleanRemark]],ROW(INDIRECT("1:"&amp;LEN(NPS_Data[[#This Row],[CleanRemark]]))),1))))</f>
        <v>21891</v>
      </c>
      <c r="Y223" s="2" t="str">
        <f>IF(COUNTIF(NPS_Data[Ticket No],NPS_Data[[#This Row],[Ticket No]])&gt;1,"Duplicate","OK")</f>
        <v>OK</v>
      </c>
      <c r="Z223" s="2" t="str">
        <f ca="1">IF(NPS_Data[[#This Row],[RemarkHash]]="","OK",
   IF(COUNTIF(NPS_Data[RemarkHash],NPS_Data[[#This Row],[RemarkHash]])&gt;1,"RepeatedRemark","OK"))</f>
        <v>RepeatedRemark</v>
      </c>
      <c r="AA223" s="17">
        <f>IF( AND( ISNUMBER(NPS_Data[[#This Row],[CreatedDateTime]]), ISNUMBER(NPS_Data[[#This Row],[ResolvedDateTime]]) ), (NPS_Data[[#This Row],[ResolvedDateTime]] - NPS_Data[[#This Row],[CreatedDateTime]]) * 24, 0 )</f>
        <v>197.03583333338611</v>
      </c>
      <c r="AB223" s="65" t="str">
        <f>IF(NOT(ISNA(NPS_Data[[#This Row],[CreatedDateTime]])),
   YEAR(NPS_Data[[#This Row],[CreatedDateTime]]) &amp; "-" &amp; TEXT(WEEKNUM(NPS_Data[[#This Row],[CreatedDateTime]],2),"00"),
   "")</f>
        <v>2025-34</v>
      </c>
      <c r="AC223" s="14" t="str">
        <f>IF(NOT(ISNA(NPS_Data[[#This Row],[CreatedDateTime]])), TEXT(NPS_Data[[#This Row],[CreatedDateTime]],"YYYY-MM"), "")</f>
        <v>2025-08</v>
      </c>
      <c r="AD223" s="14" t="str">
        <f>IF(NOT(ISNUMBER(NPS_Data[[#This Row],[ResolutionHours]])),"Open", IF(NPS_Data[[#This Row],[ResolutionHours]]&gt;72,"Breach","OK"))</f>
        <v>Breach</v>
      </c>
      <c r="AE223" s="14">
        <f>IF(AND(ISNUMBER(NPS_Data[[#This Row],[CreatedDateTime]]), ISNUMBER(NPS_Data[[#This Row],[ResolvedDateTime]])), 1, 0)</f>
        <v>1</v>
      </c>
      <c r="AF223" s="48" t="str">
        <f>IF(NOT(ISNA(NPS_Data[[#This Row],[CreatedDateTime]])), TEXT(NPS_Data[[#This Row],[CreatedDateTime]],"dddd"), "")</f>
        <v>Monday</v>
      </c>
    </row>
    <row r="224" spans="1:32" x14ac:dyDescent="0.25">
      <c r="A224" s="2" t="s">
        <v>1262</v>
      </c>
      <c r="B224" s="2" t="s">
        <v>313</v>
      </c>
      <c r="C224" s="2" t="s">
        <v>1263</v>
      </c>
      <c r="D224"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45880.391701388886</v>
      </c>
      <c r="E224" s="2" t="s">
        <v>219</v>
      </c>
      <c r="H224" s="7" t="str">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
      </c>
      <c r="I224" s="2" t="s">
        <v>23</v>
      </c>
      <c r="J224" s="2" t="s">
        <v>23</v>
      </c>
      <c r="K224" s="2" t="s">
        <v>56</v>
      </c>
      <c r="L224" s="2" t="s">
        <v>1264</v>
      </c>
      <c r="M224" s="2" t="s">
        <v>1265</v>
      </c>
      <c r="N224" s="2" t="s">
        <v>697</v>
      </c>
      <c r="O224" s="2" t="s">
        <v>28</v>
      </c>
      <c r="P224" s="2" t="s">
        <v>60</v>
      </c>
      <c r="Q224" s="3">
        <v>9</v>
      </c>
      <c r="R224" s="2" t="s">
        <v>49</v>
      </c>
      <c r="S224" s="2" t="s">
        <v>116</v>
      </c>
      <c r="T224" s="2" t="str">
        <f>IF(OR(NPS_Data[[#This Row],[CreatedDateTime]]="",NPS_Data[[#This Row],[Assigned To]]="",NPS_Data[[#This Row],[Issue 2 - NPS]]="",NPS_Data[[#This Row],[Program Name]]=""),"Missing","OK")</f>
        <v>OK</v>
      </c>
      <c r="U224" s="2" t="str">
        <f>IF(
  AND(NPS_Data[[#This Row],[Status]]="Complete", OR(ISNA(NPS_Data[[#This Row],[ResolvedDateTime]]), ISBLANK(NPS_Data[[#This Row],[ResolvedDateTime]]))),
  "CompleteNoResolved",
  IF(
    AND(NPS_Data[[#This Row],[Status]]="Pending", NPS_Data[[#This Row],[Sub Status]]="Solved"),
    "PendingButSolved",
    "OK"
  )
)</f>
        <v>OK</v>
      </c>
      <c r="V224"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24" s="2" t="str">
        <f>IFERROR(TRIM(CLEAN(NPS_Data[[#This Row],[Ticket All Remarks]])),"")</f>
        <v>Holiday classes scheduled during Diwali week without considering festival commitments. Attendance drops to 30% affecting DevOps Aug25 momentum. || Resolution: Rescheduled holiday periods and created festival-friendly calendar</v>
      </c>
      <c r="X224" s="2" cm="1">
        <f t="array" aca="1" ref="X224" ca="1">IF(NPS_Data[[#This Row],[CleanRemark]]="","",
   SUMPRODUCT(CODE(MID(NPS_Data[[#This Row],[CleanRemark]],ROW(INDIRECT("1:"&amp;LEN(NPS_Data[[#This Row],[CleanRemark]]))),1))))</f>
        <v>21406</v>
      </c>
      <c r="Y224" s="2" t="str">
        <f>IF(COUNTIF(NPS_Data[Ticket No],NPS_Data[[#This Row],[Ticket No]])&gt;1,"Duplicate","OK")</f>
        <v>OK</v>
      </c>
      <c r="Z224" s="2" t="str">
        <f ca="1">IF(NPS_Data[[#This Row],[RemarkHash]]="","OK",
   IF(COUNTIF(NPS_Data[RemarkHash],NPS_Data[[#This Row],[RemarkHash]])&gt;1,"RepeatedRemark","OK"))</f>
        <v>RepeatedRemark</v>
      </c>
      <c r="AA224" s="17">
        <f>IF( AND( ISNUMBER(NPS_Data[[#This Row],[CreatedDateTime]]), ISNUMBER(NPS_Data[[#This Row],[ResolvedDateTime]]) ), (NPS_Data[[#This Row],[ResolvedDateTime]] - NPS_Data[[#This Row],[CreatedDateTime]]) * 24, 0 )</f>
        <v>0</v>
      </c>
      <c r="AB224" s="65" t="str">
        <f>IF(NOT(ISNA(NPS_Data[[#This Row],[CreatedDateTime]])),
   YEAR(NPS_Data[[#This Row],[CreatedDateTime]]) &amp; "-" &amp; TEXT(WEEKNUM(NPS_Data[[#This Row],[CreatedDateTime]],2),"00"),
   "")</f>
        <v>2025-33</v>
      </c>
      <c r="AC224" s="14" t="str">
        <f>IF(NOT(ISNA(NPS_Data[[#This Row],[CreatedDateTime]])), TEXT(NPS_Data[[#This Row],[CreatedDateTime]],"YYYY-MM"), "")</f>
        <v>2025-08</v>
      </c>
      <c r="AD224" s="14" t="str">
        <f>IF(NOT(ISNUMBER(NPS_Data[[#This Row],[ResolutionHours]])),"Open", IF(NPS_Data[[#This Row],[ResolutionHours]]&gt;72,"Breach","OK"))</f>
        <v>OK</v>
      </c>
      <c r="AE224" s="14">
        <f>IF(AND(ISNUMBER(NPS_Data[[#This Row],[CreatedDateTime]]), ISNUMBER(NPS_Data[[#This Row],[ResolvedDateTime]])), 1, 0)</f>
        <v>0</v>
      </c>
      <c r="AF224" s="48" t="str">
        <f>IF(NOT(ISNA(NPS_Data[[#This Row],[CreatedDateTime]])), TEXT(NPS_Data[[#This Row],[CreatedDateTime]],"dddd"), "")</f>
        <v>Monday</v>
      </c>
    </row>
    <row r="225" spans="1:32" x14ac:dyDescent="0.25">
      <c r="A225" s="2" t="s">
        <v>1266</v>
      </c>
      <c r="B225" s="2" t="s">
        <v>52</v>
      </c>
      <c r="C225" s="2" t="s">
        <v>1267</v>
      </c>
      <c r="D225"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45913.799745370372</v>
      </c>
      <c r="E225" s="2" t="s">
        <v>71</v>
      </c>
      <c r="F225" s="2" t="s">
        <v>448</v>
      </c>
      <c r="G225" s="2" t="s">
        <v>1268</v>
      </c>
      <c r="H225"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45924.647233796299</v>
      </c>
      <c r="I225" s="2" t="s">
        <v>23</v>
      </c>
      <c r="J225" s="2" t="s">
        <v>23</v>
      </c>
      <c r="K225" s="2" t="s">
        <v>56</v>
      </c>
      <c r="L225" s="2" t="s">
        <v>1269</v>
      </c>
      <c r="M225" s="2" t="s">
        <v>1270</v>
      </c>
      <c r="N225" s="2" t="s">
        <v>100</v>
      </c>
      <c r="O225" s="2" t="s">
        <v>28</v>
      </c>
      <c r="P225" s="2" t="s">
        <v>68</v>
      </c>
      <c r="Q225" s="3">
        <v>8</v>
      </c>
      <c r="R225" s="2" t="s">
        <v>30</v>
      </c>
      <c r="S225" s="2" t="s">
        <v>31</v>
      </c>
      <c r="T225" s="2" t="str">
        <f>IF(OR(NPS_Data[[#This Row],[CreatedDateTime]]="",NPS_Data[[#This Row],[Assigned To]]="",NPS_Data[[#This Row],[Issue 2 - NPS]]="",NPS_Data[[#This Row],[Program Name]]=""),"Missing","OK")</f>
        <v>OK</v>
      </c>
      <c r="U225" s="2" t="str">
        <f>IF(
  AND(NPS_Data[[#This Row],[Status]]="Complete", OR(ISNA(NPS_Data[[#This Row],[ResolvedDateTime]]), ISBLANK(NPS_Data[[#This Row],[ResolvedDateTime]]))),
  "CompleteNoResolved",
  IF(
    AND(NPS_Data[[#This Row],[Status]]="Pending", NPS_Data[[#This Row],[Sub Status]]="Solved"),
    "PendingButSolved",
    "OK"
  )
)</f>
        <v>OK</v>
      </c>
      <c r="V225"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25" s="2" t="str">
        <f>IFERROR(TRIM(CLEAN(NPS_Data[[#This Row],[Ticket All Remarks]])),"")</f>
        <v>Sales promised 100% job guarantee within 6 months but placement team says no such commitment exists. Feel misled about course outcomes. || Resolution: Clarified placement support terms and provided additional career assistance</v>
      </c>
      <c r="X225" s="2" cm="1">
        <f t="array" aca="1" ref="X225" ca="1">IF(NPS_Data[[#This Row],[CleanRemark]]="","",
   SUMPRODUCT(CODE(MID(NPS_Data[[#This Row],[CleanRemark]],ROW(INDIRECT("1:"&amp;LEN(NPS_Data[[#This Row],[CleanRemark]]))),1))))</f>
        <v>21446</v>
      </c>
      <c r="Y225" s="2" t="str">
        <f>IF(COUNTIF(NPS_Data[Ticket No],NPS_Data[[#This Row],[Ticket No]])&gt;1,"Duplicate","OK")</f>
        <v>OK</v>
      </c>
      <c r="Z225" s="2" t="str">
        <f ca="1">IF(NPS_Data[[#This Row],[RemarkHash]]="","OK",
   IF(COUNTIF(NPS_Data[RemarkHash],NPS_Data[[#This Row],[RemarkHash]])&gt;1,"RepeatedRemark","OK"))</f>
        <v>RepeatedRemark</v>
      </c>
      <c r="AA225" s="17">
        <f>IF( AND( ISNUMBER(NPS_Data[[#This Row],[CreatedDateTime]]), ISNUMBER(NPS_Data[[#This Row],[ResolvedDateTime]]) ), (NPS_Data[[#This Row],[ResolvedDateTime]] - NPS_Data[[#This Row],[CreatedDateTime]]) * 24, 0 )</f>
        <v>260.33972222224111</v>
      </c>
      <c r="AB225" s="65" t="str">
        <f>IF(NOT(ISNA(NPS_Data[[#This Row],[CreatedDateTime]])),
   YEAR(NPS_Data[[#This Row],[CreatedDateTime]]) &amp; "-" &amp; TEXT(WEEKNUM(NPS_Data[[#This Row],[CreatedDateTime]],2),"00"),
   "")</f>
        <v>2025-37</v>
      </c>
      <c r="AC225" s="14" t="str">
        <f>IF(NOT(ISNA(NPS_Data[[#This Row],[CreatedDateTime]])), TEXT(NPS_Data[[#This Row],[CreatedDateTime]],"YYYY-MM"), "")</f>
        <v>2025-09</v>
      </c>
      <c r="AD225" s="14" t="str">
        <f>IF(NOT(ISNUMBER(NPS_Data[[#This Row],[ResolutionHours]])),"Open", IF(NPS_Data[[#This Row],[ResolutionHours]]&gt;72,"Breach","OK"))</f>
        <v>Breach</v>
      </c>
      <c r="AE225" s="14">
        <f>IF(AND(ISNUMBER(NPS_Data[[#This Row],[CreatedDateTime]]), ISNUMBER(NPS_Data[[#This Row],[ResolvedDateTime]])), 1, 0)</f>
        <v>1</v>
      </c>
      <c r="AF225" s="48" t="str">
        <f>IF(NOT(ISNA(NPS_Data[[#This Row],[CreatedDateTime]])), TEXT(NPS_Data[[#This Row],[CreatedDateTime]],"dddd"), "")</f>
        <v>Saturday</v>
      </c>
    </row>
    <row r="226" spans="1:32" x14ac:dyDescent="0.25">
      <c r="A226" s="2" t="s">
        <v>1271</v>
      </c>
      <c r="B226" s="2" t="s">
        <v>18</v>
      </c>
      <c r="C226" s="2" t="s">
        <v>1272</v>
      </c>
      <c r="D226" s="5">
        <f>IF(
  AND( ISNUMBER(NPS_Data[[#This Row],[Created Date]]), ISNUMBER(NPS_Data[[#This Row],[Created Time]]) ),
  NPS_Data[[#This Row],[Created Date]] + NPS_Data[[#This Row],[Created Time]],
  IF(
    AND( ISTEXT(NPS_Data[[#This Row],[Created Date]]), ISTEXT(NPS_Data[[#This Row],[Created Time]]) ),
    DATEVALUE(NPS_Data[[#This Row],[Created Date]]) + TIMEVALUE(NPS_Data[[#This Row],[Created Time]]),
    IF(
      ISNUMBER(NPS_Data[[#This Row],[Created Date]]),
      NPS_Data[[#This Row],[Created Date]],
      IF( ISTEXT(NPS_Data[[#This Row],[Created Date]]), DATEVALUE(NPS_Data[[#This Row],[Created Date]]), NA() )
    )
  )
)</f>
        <v>45892.39770833333</v>
      </c>
      <c r="E226" s="2" t="s">
        <v>167</v>
      </c>
      <c r="F226" s="2" t="s">
        <v>143</v>
      </c>
      <c r="G226" s="2" t="s">
        <v>1273</v>
      </c>
      <c r="H226" s="5">
        <f>IF( OR(NPS_Data[[#This Row],[Resolved Date]]="", ISBLANK(NPS_Data[[#This Row],[Resolved Date]])),
    "",
    IFERROR(
      IF( AND( ISNUMBER(NPS_Data[[#This Row],[Resolved Date]]), ISNUMBER(NPS_Data[[#This Row],[Resolved Time]]) ),
          NPS_Data[[#This Row],[Resolved Date]] + NPS_Data[[#This Row],[Resolved Time]],
          IF( ISNUMBER(NPS_Data[[#This Row],[Resolved Date]]),
              IF( OR(NPS_Data[[#This Row],[Resolved Time]]="", ISBLANK(NPS_Data[[#This Row],[Resolved Time]])),
                 NPS_Data[[#This Row],[Resolved Date]],
                 IFERROR( NPS_Data[[#This Row],[Resolved Date]] + TIMEVALUE(NPS_Data[[#This Row],[Resolved Time]]), "" )
              ),
              IF( OR(NPS_Data[[#This Row],[Resolved Time]]="", ISBLANK(NPS_Data[[#This Row],[Resolved Time]])),
                 DATEVALUE(NPS_Data[[#This Row],[Resolved Date]]),
                 IFERROR( DATEVALUE(NPS_Data[[#This Row],[Resolved Date]]) + TIMEVALUE(NPS_Data[[#This Row],[Resolved Time]]), "" )
              )
          )
      ),
      ""
    )
)</f>
        <v>45896.680358796293</v>
      </c>
      <c r="I226" s="2" t="s">
        <v>23</v>
      </c>
      <c r="J226" s="2" t="s">
        <v>23</v>
      </c>
      <c r="K226" s="2" t="s">
        <v>88</v>
      </c>
      <c r="L226" s="2" t="s">
        <v>1274</v>
      </c>
      <c r="M226" s="2" t="s">
        <v>1275</v>
      </c>
      <c r="N226" s="2" t="s">
        <v>1276</v>
      </c>
      <c r="O226" s="2" t="s">
        <v>41</v>
      </c>
      <c r="P226" s="2" t="s">
        <v>242</v>
      </c>
      <c r="Q226" s="3">
        <v>5</v>
      </c>
      <c r="R226" s="2" t="s">
        <v>30</v>
      </c>
      <c r="S226" s="2" t="s">
        <v>31</v>
      </c>
      <c r="T226" s="2" t="str">
        <f>IF(OR(NPS_Data[[#This Row],[CreatedDateTime]]="",NPS_Data[[#This Row],[Assigned To]]="",NPS_Data[[#This Row],[Issue 2 - NPS]]="",NPS_Data[[#This Row],[Program Name]]=""),"Missing","OK")</f>
        <v>OK</v>
      </c>
      <c r="U226" s="2" t="str">
        <f>IF(
  AND(NPS_Data[[#This Row],[Status]]="Complete", OR(ISNA(NPS_Data[[#This Row],[ResolvedDateTime]]), ISBLANK(NPS_Data[[#This Row],[ResolvedDateTime]]))),
  "CompleteNoResolved",
  IF(
    AND(NPS_Data[[#This Row],[Status]]="Pending", NPS_Data[[#This Row],[Sub Status]]="Solved"),
    "PendingButSolved",
    "OK"
  )
)</f>
        <v>OK</v>
      </c>
      <c r="V226" s="2" t="str">
        <f>IF(
  AND(
    NOT( OR(
      ISNA(NPS_Data[[#This Row],[ResolvedDateTime]]),
      ISNA(NPS_Data[[#This Row],[CreatedDateTime]]),
      ISBLANK(NPS_Data[[#This Row],[ResolvedDateTime]]),
      ISBLANK(NPS_Data[[#This Row],[CreatedDateTime]])
    )),
    IFERROR(NPS_Data[[#This Row],[ResolvedDateTime]],"") &lt; IFERROR(NPS_Data[[#This Row],[CreatedDateTime]],"")
  ),
  "ResolvedBeforeCreated",
  "OK"
)</f>
        <v>OK</v>
      </c>
      <c r="W226" s="2" t="str">
        <f>IFERROR(TRIM(CLEAN(NPS_Data[[#This Row],[Ticket All Remarks]])),"")</f>
        <v>Resume format doesn't work for startup applications. Too formal for young companies, but changing format affects ATS performance at large corporations. || Resolution: Created dual resume strategy for different Flipkart types</v>
      </c>
      <c r="X226" s="2" cm="1">
        <f t="array" aca="1" ref="X226" ca="1">IF(NPS_Data[[#This Row],[CleanRemark]]="","",
   SUMPRODUCT(CODE(MID(NPS_Data[[#This Row],[CleanRemark]],ROW(INDIRECT("1:"&amp;LEN(NPS_Data[[#This Row],[CleanRemark]]))),1))))</f>
        <v>21417</v>
      </c>
      <c r="Y226" s="2" t="str">
        <f>IF(COUNTIF(NPS_Data[Ticket No],NPS_Data[[#This Row],[Ticket No]])&gt;1,"Duplicate","OK")</f>
        <v>OK</v>
      </c>
      <c r="Z226" s="2" t="str">
        <f ca="1">IF(NPS_Data[[#This Row],[RemarkHash]]="","OK",
   IF(COUNTIF(NPS_Data[RemarkHash],NPS_Data[[#This Row],[RemarkHash]])&gt;1,"RepeatedRemark","OK"))</f>
        <v>OK</v>
      </c>
      <c r="AA226" s="16">
        <f>IF( AND( ISNUMBER(NPS_Data[[#This Row],[CreatedDateTime]]), ISNUMBER(NPS_Data[[#This Row],[ResolvedDateTime]]) ), (NPS_Data[[#This Row],[ResolvedDateTime]] - NPS_Data[[#This Row],[CreatedDateTime]]) * 24, 0 )</f>
        <v>102.78361111111008</v>
      </c>
      <c r="AB226" s="65" t="str">
        <f>IF(NOT(ISNA(NPS_Data[[#This Row],[CreatedDateTime]])),
   YEAR(NPS_Data[[#This Row],[CreatedDateTime]]) &amp; "-" &amp; TEXT(WEEKNUM(NPS_Data[[#This Row],[CreatedDateTime]],2),"00"),
   "")</f>
        <v>2025-34</v>
      </c>
      <c r="AC226" s="14" t="str">
        <f>IF(NOT(ISNA(NPS_Data[[#This Row],[CreatedDateTime]])), TEXT(NPS_Data[[#This Row],[CreatedDateTime]],"YYYY-MM"), "")</f>
        <v>2025-08</v>
      </c>
      <c r="AD226" s="14" t="str">
        <f>IF(NOT(ISNUMBER(NPS_Data[[#This Row],[ResolutionHours]])),"Open", IF(NPS_Data[[#This Row],[ResolutionHours]]&gt;72,"Breach","OK"))</f>
        <v>Breach</v>
      </c>
      <c r="AE226" s="14">
        <f>IF(AND(ISNUMBER(NPS_Data[[#This Row],[CreatedDateTime]]), ISNUMBER(NPS_Data[[#This Row],[ResolvedDateTime]])), 1, 0)</f>
        <v>1</v>
      </c>
      <c r="AF226" s="48" t="str">
        <f>IF(NOT(ISNA(NPS_Data[[#This Row],[CreatedDateTime]])), TEXT(NPS_Data[[#This Row],[CreatedDateTime]],"dddd"), "")</f>
        <v>Saturday</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3202-512F-4227-BF18-59E7F9996883}">
  <dimension ref="A1:C6"/>
  <sheetViews>
    <sheetView zoomScaleNormal="114" workbookViewId="0">
      <selection activeCell="G17" sqref="G17"/>
    </sheetView>
  </sheetViews>
  <sheetFormatPr defaultRowHeight="13.2" x14ac:dyDescent="0.25"/>
  <cols>
    <col min="1" max="1" width="22.44140625" bestFit="1" customWidth="1"/>
    <col min="2" max="2" width="8.5546875" bestFit="1" customWidth="1"/>
    <col min="3" max="3" width="61.77734375" bestFit="1" customWidth="1"/>
  </cols>
  <sheetData>
    <row r="1" spans="1:3" x14ac:dyDescent="0.25">
      <c r="A1" t="s">
        <v>1286</v>
      </c>
      <c r="B1" t="s">
        <v>1287</v>
      </c>
      <c r="C1" s="8" t="s">
        <v>1288</v>
      </c>
    </row>
    <row r="2" spans="1:3" x14ac:dyDescent="0.25">
      <c r="A2" t="s">
        <v>1289</v>
      </c>
      <c r="B2">
        <f>COUNTIF(NPS_Data[MissingFieldsFlag],"Missing")</f>
        <v>5</v>
      </c>
      <c r="C2" t="str" cm="1">
        <f t="array" ref="C2">_xlfn.TEXTJOIN(", ", TRUE, _xlfn._xlws.FILTER(NPS_Data[Ticket No], NPS_Data[MissingFieldsFlag]="Missing"))</f>
        <v>75979196799, 75770405910, 75522628457, 75687057426, 75606938058</v>
      </c>
    </row>
    <row r="3" spans="1:3" x14ac:dyDescent="0.25">
      <c r="A3" t="s">
        <v>1290</v>
      </c>
      <c r="B3">
        <f>COUNTIF(NPS_Data[StatusLogicFlag],"PendingButSolved")</f>
        <v>0</v>
      </c>
      <c r="C3" t="str" cm="1">
        <f t="array" ref="C3">_xlfn.TEXTJOIN(", ", TRUE, _xlfn._xlws.FILTER(NPS_Data[Ticket No], NPS_Data[StatusLogicFlag]="PendingButSolved", "None"))</f>
        <v>None</v>
      </c>
    </row>
    <row r="4" spans="1:3" x14ac:dyDescent="0.25">
      <c r="A4" t="s">
        <v>1291</v>
      </c>
      <c r="B4">
        <f>COUNTIF(NPS_Data[ResolutionErrorFlag],"ResolvedBeforeCreated")</f>
        <v>0</v>
      </c>
      <c r="C4" t="str" cm="1">
        <f t="array" ref="C4">_xlfn.TEXTJOIN(", ", TRUE, _xlfn._xlws.FILTER(NPS_Data[Ticket No], NPS_Data[ResolutionErrorFlag]="ResolvedBeforeCreated", "None"))</f>
        <v>None</v>
      </c>
    </row>
    <row r="5" spans="1:3" x14ac:dyDescent="0.25">
      <c r="A5" t="s">
        <v>1292</v>
      </c>
      <c r="B5">
        <f>COUNTIF(NPS_Data[DuplicateTicketFlag],"Duplicate")</f>
        <v>0</v>
      </c>
      <c r="C5" t="str" cm="1">
        <f t="array" ref="C5">_xlfn.TEXTJOIN(", ", TRUE, _xlfn._xlws.FILTER(NPS_Data[Ticket No], NPS_Data[DuplicateTicketFlag]="Duplicate", "None"))</f>
        <v>None</v>
      </c>
    </row>
    <row r="6" spans="1:3" x14ac:dyDescent="0.25">
      <c r="A6" t="s">
        <v>1293</v>
      </c>
      <c r="B6">
        <f ca="1">COUNTIF(NPS_Data[DuplicateRemarksFlag],"RepeatedRemark")</f>
        <v>171</v>
      </c>
      <c r="C6" t="str" cm="1">
        <f t="array" aca="1" ref="C6" ca="1">_xlfn.TEXTJOIN(", ", TRUE, INDEX(_xlfn._xlws.FILTER(NPS_Data[Ticket No], NPS_Data[DuplicateRemarksFlag]="RepeatedRemark"), _xlfn.SEQUENCE(5)))</f>
        <v>75591735734, 75958260221, 75838508549, 75500273738, 75543171768</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54301-D32B-42F9-8445-441F4E2EB2D3}">
  <dimension ref="A1:B22"/>
  <sheetViews>
    <sheetView workbookViewId="0">
      <selection activeCell="C12" sqref="C12"/>
    </sheetView>
  </sheetViews>
  <sheetFormatPr defaultRowHeight="13.2" x14ac:dyDescent="0.25"/>
  <cols>
    <col min="1" max="1" width="16" bestFit="1" customWidth="1"/>
    <col min="2" max="2" width="80.44140625" bestFit="1" customWidth="1"/>
  </cols>
  <sheetData>
    <row r="1" spans="1:2" x14ac:dyDescent="0.25">
      <c r="A1" t="s">
        <v>1294</v>
      </c>
      <c r="B1" t="s">
        <v>1295</v>
      </c>
    </row>
    <row r="2" spans="1:2" x14ac:dyDescent="0.25">
      <c r="A2" t="s">
        <v>1277</v>
      </c>
      <c r="B2" t="s">
        <v>1298</v>
      </c>
    </row>
    <row r="3" spans="1:2" x14ac:dyDescent="0.25">
      <c r="A3" t="s">
        <v>1283</v>
      </c>
      <c r="B3" t="s">
        <v>1299</v>
      </c>
    </row>
    <row r="4" spans="1:2" x14ac:dyDescent="0.25">
      <c r="A4" t="s">
        <v>3</v>
      </c>
      <c r="B4" t="s">
        <v>1300</v>
      </c>
    </row>
    <row r="5" spans="1:2" x14ac:dyDescent="0.25">
      <c r="A5" t="s">
        <v>13</v>
      </c>
      <c r="B5" t="s">
        <v>1301</v>
      </c>
    </row>
    <row r="6" spans="1:2" x14ac:dyDescent="0.25">
      <c r="A6" t="s">
        <v>1296</v>
      </c>
      <c r="B6" t="s">
        <v>1302</v>
      </c>
    </row>
    <row r="7" spans="1:2" x14ac:dyDescent="0.25">
      <c r="A7" t="s">
        <v>1297</v>
      </c>
      <c r="B7" t="s">
        <v>1303</v>
      </c>
    </row>
    <row r="8" spans="1:2" x14ac:dyDescent="0.25">
      <c r="A8" t="s">
        <v>0</v>
      </c>
      <c r="B8" t="s">
        <v>1304</v>
      </c>
    </row>
    <row r="9" spans="1:2" x14ac:dyDescent="0.25">
      <c r="A9" t="s">
        <v>11</v>
      </c>
      <c r="B9" t="s">
        <v>1305</v>
      </c>
    </row>
    <row r="12" spans="1:2" x14ac:dyDescent="0.25">
      <c r="A12" t="s">
        <v>1306</v>
      </c>
      <c r="B12" t="s">
        <v>1313</v>
      </c>
    </row>
    <row r="13" spans="1:2" x14ac:dyDescent="0.25">
      <c r="A13" t="s">
        <v>1307</v>
      </c>
      <c r="B13" t="s">
        <v>1314</v>
      </c>
    </row>
    <row r="14" spans="1:2" x14ac:dyDescent="0.25">
      <c r="A14" t="s">
        <v>1308</v>
      </c>
      <c r="B14" t="s">
        <v>1315</v>
      </c>
    </row>
    <row r="15" spans="1:2" x14ac:dyDescent="0.25">
      <c r="A15" t="s">
        <v>1309</v>
      </c>
      <c r="B15" t="s">
        <v>1316</v>
      </c>
    </row>
    <row r="16" spans="1:2" x14ac:dyDescent="0.25">
      <c r="A16" t="s">
        <v>1310</v>
      </c>
      <c r="B16" t="s">
        <v>1317</v>
      </c>
    </row>
    <row r="17" spans="1:2" x14ac:dyDescent="0.25">
      <c r="A17" t="s">
        <v>1311</v>
      </c>
      <c r="B17" t="s">
        <v>1318</v>
      </c>
    </row>
    <row r="18" spans="1:2" x14ac:dyDescent="0.25">
      <c r="A18" t="s">
        <v>1312</v>
      </c>
      <c r="B18" t="s">
        <v>1319</v>
      </c>
    </row>
    <row r="21" spans="1:2" ht="66" x14ac:dyDescent="0.25">
      <c r="A21" s="9" t="s">
        <v>1321</v>
      </c>
      <c r="B21" s="10" t="s">
        <v>1320</v>
      </c>
    </row>
    <row r="22" spans="1:2" x14ac:dyDescent="0.25">
      <c r="A22" s="8"/>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90CC6-C60E-4A8B-BC04-AABDD968BBE2}">
  <dimension ref="A1:CO184"/>
  <sheetViews>
    <sheetView topLeftCell="A135" zoomScale="98" zoomScaleNormal="98" workbookViewId="0">
      <selection activeCell="J86" sqref="J86"/>
    </sheetView>
  </sheetViews>
  <sheetFormatPr defaultRowHeight="13.2" x14ac:dyDescent="0.25"/>
  <cols>
    <col min="1" max="1" width="42.88671875" bestFit="1" customWidth="1"/>
    <col min="2" max="2" width="16.44140625" bestFit="1" customWidth="1"/>
    <col min="3" max="3" width="7.88671875" bestFit="1" customWidth="1"/>
    <col min="4" max="4" width="6.21875" bestFit="1" customWidth="1"/>
    <col min="5" max="6" width="11.33203125" bestFit="1" customWidth="1"/>
    <col min="7" max="7" width="9.88671875" bestFit="1" customWidth="1"/>
    <col min="10" max="10" width="24.109375" bestFit="1" customWidth="1"/>
  </cols>
  <sheetData>
    <row r="1" spans="1:5" ht="22.8" x14ac:dyDescent="0.4">
      <c r="A1" s="31" t="s">
        <v>1336</v>
      </c>
      <c r="B1" s="32"/>
      <c r="C1" s="32"/>
    </row>
    <row r="3" spans="1:5" ht="13.8" x14ac:dyDescent="0.25">
      <c r="A3" s="33" t="s">
        <v>1337</v>
      </c>
    </row>
    <row r="4" spans="1:5" x14ac:dyDescent="0.25">
      <c r="A4" s="20" t="s">
        <v>1286</v>
      </c>
      <c r="B4" s="20" t="s">
        <v>1327</v>
      </c>
      <c r="C4" t="s">
        <v>1328</v>
      </c>
    </row>
    <row r="5" spans="1:5" x14ac:dyDescent="0.25">
      <c r="A5" s="21" t="s">
        <v>92</v>
      </c>
      <c r="B5">
        <v>21</v>
      </c>
      <c r="C5" s="23">
        <v>9.3333333333333338E-2</v>
      </c>
    </row>
    <row r="6" spans="1:5" x14ac:dyDescent="0.25">
      <c r="A6" s="21" t="s">
        <v>189</v>
      </c>
      <c r="B6">
        <v>19</v>
      </c>
      <c r="C6" s="23">
        <v>8.4444444444444447E-2</v>
      </c>
    </row>
    <row r="7" spans="1:5" x14ac:dyDescent="0.25">
      <c r="A7" s="21" t="s">
        <v>29</v>
      </c>
      <c r="B7">
        <v>18</v>
      </c>
      <c r="C7" s="23">
        <v>0.08</v>
      </c>
    </row>
    <row r="8" spans="1:5" x14ac:dyDescent="0.25">
      <c r="A8" s="21" t="s">
        <v>68</v>
      </c>
      <c r="B8">
        <v>18</v>
      </c>
      <c r="C8" s="23">
        <v>0.08</v>
      </c>
    </row>
    <row r="9" spans="1:5" x14ac:dyDescent="0.25">
      <c r="A9" s="21" t="s">
        <v>60</v>
      </c>
      <c r="B9">
        <v>18</v>
      </c>
      <c r="C9" s="23">
        <v>0.08</v>
      </c>
    </row>
    <row r="10" spans="1:5" x14ac:dyDescent="0.25">
      <c r="A10" s="21" t="s">
        <v>216</v>
      </c>
      <c r="B10">
        <v>17</v>
      </c>
      <c r="C10" s="23">
        <v>7.5555555555555556E-2</v>
      </c>
    </row>
    <row r="11" spans="1:5" x14ac:dyDescent="0.25">
      <c r="A11" s="21" t="s">
        <v>242</v>
      </c>
      <c r="B11">
        <v>16</v>
      </c>
      <c r="C11" s="23">
        <v>7.1111111111111111E-2</v>
      </c>
    </row>
    <row r="12" spans="1:5" x14ac:dyDescent="0.25">
      <c r="A12" s="21" t="s">
        <v>125</v>
      </c>
      <c r="B12">
        <v>16</v>
      </c>
      <c r="C12" s="23">
        <v>7.1111111111111111E-2</v>
      </c>
      <c r="E12" s="21"/>
    </row>
    <row r="13" spans="1:5" x14ac:dyDescent="0.25">
      <c r="A13" s="21" t="s">
        <v>158</v>
      </c>
      <c r="B13">
        <v>16</v>
      </c>
      <c r="C13" s="23">
        <v>7.1111111111111111E-2</v>
      </c>
    </row>
    <row r="14" spans="1:5" x14ac:dyDescent="0.25">
      <c r="A14" s="21" t="s">
        <v>132</v>
      </c>
      <c r="B14">
        <v>14</v>
      </c>
      <c r="C14" s="23">
        <v>6.222222222222222E-2</v>
      </c>
    </row>
    <row r="15" spans="1:5" x14ac:dyDescent="0.25">
      <c r="A15" s="21" t="s">
        <v>148</v>
      </c>
      <c r="B15">
        <v>14</v>
      </c>
      <c r="C15" s="23">
        <v>6.222222222222222E-2</v>
      </c>
    </row>
    <row r="16" spans="1:5" x14ac:dyDescent="0.25">
      <c r="A16" s="21" t="s">
        <v>585</v>
      </c>
      <c r="B16">
        <v>14</v>
      </c>
      <c r="C16" s="23">
        <v>6.222222222222222E-2</v>
      </c>
    </row>
    <row r="17" spans="1:3" x14ac:dyDescent="0.25">
      <c r="A17" s="21" t="s">
        <v>285</v>
      </c>
      <c r="B17">
        <v>14</v>
      </c>
      <c r="C17" s="23">
        <v>6.222222222222222E-2</v>
      </c>
    </row>
    <row r="18" spans="1:3" x14ac:dyDescent="0.25">
      <c r="A18" s="21" t="s">
        <v>379</v>
      </c>
      <c r="B18">
        <v>10</v>
      </c>
      <c r="C18" s="23">
        <v>4.4444444444444446E-2</v>
      </c>
    </row>
    <row r="19" spans="1:3" x14ac:dyDescent="0.25">
      <c r="A19" s="21" t="s">
        <v>1326</v>
      </c>
      <c r="B19">
        <v>225</v>
      </c>
      <c r="C19" s="23">
        <v>1</v>
      </c>
    </row>
    <row r="20" spans="1:3" x14ac:dyDescent="0.25">
      <c r="A20" s="21"/>
      <c r="C20" s="23"/>
    </row>
    <row r="21" spans="1:3" ht="17.399999999999999" customHeight="1" x14ac:dyDescent="0.25">
      <c r="A21" s="39" t="s">
        <v>1342</v>
      </c>
      <c r="B21" s="39"/>
      <c r="C21" s="23"/>
    </row>
    <row r="22" spans="1:3" ht="13.2" customHeight="1" x14ac:dyDescent="0.25">
      <c r="A22" s="40" t="s">
        <v>1343</v>
      </c>
      <c r="B22" s="40"/>
      <c r="C22" s="23"/>
    </row>
    <row r="23" spans="1:3" ht="13.2" customHeight="1" x14ac:dyDescent="0.25">
      <c r="A23" s="40" t="s">
        <v>1344</v>
      </c>
      <c r="B23" s="40"/>
      <c r="C23" s="23"/>
    </row>
    <row r="24" spans="1:3" ht="13.2" customHeight="1" x14ac:dyDescent="0.25">
      <c r="A24" s="41" t="s">
        <v>1341</v>
      </c>
      <c r="B24" s="41"/>
      <c r="C24" s="23"/>
    </row>
    <row r="25" spans="1:3" x14ac:dyDescent="0.25">
      <c r="A25" s="36"/>
      <c r="C25" s="23"/>
    </row>
    <row r="26" spans="1:3" ht="13.8" x14ac:dyDescent="0.25">
      <c r="A26" s="33" t="s">
        <v>1345</v>
      </c>
    </row>
    <row r="27" spans="1:3" x14ac:dyDescent="0.25">
      <c r="A27" s="22" t="s">
        <v>1286</v>
      </c>
      <c r="B27" s="22" t="s">
        <v>1327</v>
      </c>
      <c r="C27" s="22" t="s">
        <v>1328</v>
      </c>
    </row>
    <row r="28" spans="1:3" x14ac:dyDescent="0.25">
      <c r="A28" s="21" t="s">
        <v>92</v>
      </c>
      <c r="B28">
        <v>21</v>
      </c>
      <c r="C28" s="23">
        <v>9.3333333333333338E-2</v>
      </c>
    </row>
    <row r="29" spans="1:3" x14ac:dyDescent="0.25">
      <c r="A29" s="21" t="s">
        <v>189</v>
      </c>
      <c r="B29">
        <v>19</v>
      </c>
      <c r="C29" s="23">
        <v>8.4444444444444447E-2</v>
      </c>
    </row>
    <row r="30" spans="1:3" x14ac:dyDescent="0.25">
      <c r="A30" s="21" t="s">
        <v>29</v>
      </c>
      <c r="B30">
        <v>18</v>
      </c>
      <c r="C30" s="23">
        <v>0.08</v>
      </c>
    </row>
    <row r="31" spans="1:3" x14ac:dyDescent="0.25">
      <c r="A31" s="24" t="s">
        <v>68</v>
      </c>
      <c r="B31">
        <v>18</v>
      </c>
      <c r="C31" s="23">
        <v>0.08</v>
      </c>
    </row>
    <row r="32" spans="1:3" x14ac:dyDescent="0.25">
      <c r="A32" s="21" t="s">
        <v>60</v>
      </c>
      <c r="B32">
        <v>18</v>
      </c>
      <c r="C32" s="23">
        <v>0.08</v>
      </c>
    </row>
    <row r="33" spans="1:3" x14ac:dyDescent="0.25">
      <c r="A33" s="28" t="s">
        <v>1326</v>
      </c>
      <c r="B33" s="30">
        <f>SUM(B28:B32)</f>
        <v>94</v>
      </c>
      <c r="C33" s="29">
        <f>SUM(C28:C32)</f>
        <v>0.4177777777777778</v>
      </c>
    </row>
    <row r="60" spans="1:1" ht="13.8" x14ac:dyDescent="0.25">
      <c r="A60" s="37" t="s">
        <v>1346</v>
      </c>
    </row>
    <row r="61" spans="1:1" x14ac:dyDescent="0.25">
      <c r="A61" s="35" t="s">
        <v>1347</v>
      </c>
    </row>
    <row r="62" spans="1:1" x14ac:dyDescent="0.25">
      <c r="A62" s="36" t="s">
        <v>1348</v>
      </c>
    </row>
    <row r="63" spans="1:1" x14ac:dyDescent="0.25">
      <c r="A63" s="35" t="s">
        <v>1349</v>
      </c>
    </row>
    <row r="64" spans="1:1" x14ac:dyDescent="0.25">
      <c r="A64" s="36"/>
    </row>
    <row r="65" spans="1:6" ht="13.8" x14ac:dyDescent="0.25">
      <c r="A65" s="33" t="s">
        <v>1338</v>
      </c>
    </row>
    <row r="66" spans="1:6" x14ac:dyDescent="0.25">
      <c r="A66" s="20" t="s">
        <v>1339</v>
      </c>
      <c r="B66" t="s">
        <v>1330</v>
      </c>
      <c r="C66" t="s">
        <v>1331</v>
      </c>
      <c r="D66" t="s">
        <v>1327</v>
      </c>
      <c r="E66" t="s">
        <v>1332</v>
      </c>
      <c r="F66" s="27" t="s">
        <v>1333</v>
      </c>
    </row>
    <row r="67" spans="1:6" x14ac:dyDescent="0.25">
      <c r="A67" s="21" t="s">
        <v>189</v>
      </c>
      <c r="B67" s="43">
        <v>2074.0016666668234</v>
      </c>
      <c r="C67" s="43">
        <v>14</v>
      </c>
      <c r="D67" s="43">
        <v>19</v>
      </c>
      <c r="E67" s="43">
        <v>19</v>
      </c>
      <c r="F67" s="26">
        <f t="shared" ref="F67:F81" si="0">B67/C67</f>
        <v>148.14297619048739</v>
      </c>
    </row>
    <row r="68" spans="1:6" x14ac:dyDescent="0.25">
      <c r="A68" s="21" t="s">
        <v>68</v>
      </c>
      <c r="B68" s="43">
        <v>2724.8669444445404</v>
      </c>
      <c r="C68" s="43">
        <v>16</v>
      </c>
      <c r="D68" s="43">
        <v>18</v>
      </c>
      <c r="E68" s="43">
        <v>18</v>
      </c>
      <c r="F68" s="26">
        <f t="shared" si="0"/>
        <v>170.30418402778378</v>
      </c>
    </row>
    <row r="69" spans="1:6" x14ac:dyDescent="0.25">
      <c r="A69" s="21" t="s">
        <v>242</v>
      </c>
      <c r="B69" s="43">
        <v>1759.1280555555713</v>
      </c>
      <c r="C69" s="43">
        <v>10</v>
      </c>
      <c r="D69" s="43">
        <v>16</v>
      </c>
      <c r="E69" s="43">
        <v>16</v>
      </c>
      <c r="F69" s="26">
        <f t="shared" si="0"/>
        <v>175.91280555555713</v>
      </c>
    </row>
    <row r="70" spans="1:6" x14ac:dyDescent="0.25">
      <c r="A70" s="21" t="s">
        <v>148</v>
      </c>
      <c r="B70" s="43">
        <v>1706.1891666667652</v>
      </c>
      <c r="C70" s="43">
        <v>9</v>
      </c>
      <c r="D70" s="43">
        <v>14</v>
      </c>
      <c r="E70" s="43">
        <v>14</v>
      </c>
      <c r="F70" s="26">
        <f t="shared" si="0"/>
        <v>189.57657407408502</v>
      </c>
    </row>
    <row r="71" spans="1:6" x14ac:dyDescent="0.25">
      <c r="A71" s="21" t="s">
        <v>285</v>
      </c>
      <c r="B71" s="43">
        <v>1398.5941666663857</v>
      </c>
      <c r="C71" s="43">
        <v>11</v>
      </c>
      <c r="D71" s="43">
        <v>14</v>
      </c>
      <c r="E71" s="43">
        <v>14</v>
      </c>
      <c r="F71" s="26">
        <f t="shared" si="0"/>
        <v>127.1449242423987</v>
      </c>
    </row>
    <row r="72" spans="1:6" x14ac:dyDescent="0.25">
      <c r="A72" s="21" t="s">
        <v>92</v>
      </c>
      <c r="B72" s="43">
        <v>2137.870277777547</v>
      </c>
      <c r="C72" s="43">
        <v>12</v>
      </c>
      <c r="D72" s="43">
        <v>21</v>
      </c>
      <c r="E72" s="43">
        <v>21</v>
      </c>
      <c r="F72" s="26">
        <f t="shared" si="0"/>
        <v>178.15585648146225</v>
      </c>
    </row>
    <row r="73" spans="1:6" x14ac:dyDescent="0.25">
      <c r="A73" s="21" t="s">
        <v>216</v>
      </c>
      <c r="B73" s="43">
        <v>2022.6149999998743</v>
      </c>
      <c r="C73" s="43">
        <v>11</v>
      </c>
      <c r="D73" s="43">
        <v>17</v>
      </c>
      <c r="E73" s="43">
        <v>17</v>
      </c>
      <c r="F73" s="26">
        <f t="shared" si="0"/>
        <v>183.87409090907948</v>
      </c>
    </row>
    <row r="74" spans="1:6" x14ac:dyDescent="0.25">
      <c r="A74" s="21" t="s">
        <v>132</v>
      </c>
      <c r="B74" s="43">
        <v>1480.0283333330881</v>
      </c>
      <c r="C74" s="43">
        <v>9</v>
      </c>
      <c r="D74" s="43">
        <v>14</v>
      </c>
      <c r="E74" s="43">
        <v>14</v>
      </c>
      <c r="F74" s="26">
        <f t="shared" si="0"/>
        <v>164.44759259256534</v>
      </c>
    </row>
    <row r="75" spans="1:6" x14ac:dyDescent="0.25">
      <c r="A75" s="21" t="s">
        <v>585</v>
      </c>
      <c r="B75" s="43">
        <v>1770.1911111109075</v>
      </c>
      <c r="C75" s="43">
        <v>12</v>
      </c>
      <c r="D75" s="43">
        <v>14</v>
      </c>
      <c r="E75" s="43">
        <v>14</v>
      </c>
      <c r="F75" s="26">
        <f t="shared" si="0"/>
        <v>147.51592592590896</v>
      </c>
    </row>
    <row r="76" spans="1:6" x14ac:dyDescent="0.25">
      <c r="A76" s="21" t="s">
        <v>29</v>
      </c>
      <c r="B76" s="43">
        <v>1337.5288888889481</v>
      </c>
      <c r="C76" s="43">
        <v>8</v>
      </c>
      <c r="D76" s="43">
        <v>18</v>
      </c>
      <c r="E76" s="43">
        <v>18</v>
      </c>
      <c r="F76" s="26">
        <f t="shared" si="0"/>
        <v>167.19111111111852</v>
      </c>
    </row>
    <row r="77" spans="1:6" x14ac:dyDescent="0.25">
      <c r="A77" s="21" t="s">
        <v>125</v>
      </c>
      <c r="B77" s="43">
        <v>1913.109444444417</v>
      </c>
      <c r="C77" s="43">
        <v>12</v>
      </c>
      <c r="D77" s="43">
        <v>16</v>
      </c>
      <c r="E77" s="43">
        <v>16</v>
      </c>
      <c r="F77" s="26">
        <f t="shared" si="0"/>
        <v>159.42578703703475</v>
      </c>
    </row>
    <row r="78" spans="1:6" x14ac:dyDescent="0.25">
      <c r="A78" s="21" t="s">
        <v>60</v>
      </c>
      <c r="B78" s="43">
        <v>2324.6558333337307</v>
      </c>
      <c r="C78" s="43">
        <v>13</v>
      </c>
      <c r="D78" s="43">
        <v>18</v>
      </c>
      <c r="E78" s="43">
        <v>18</v>
      </c>
      <c r="F78" s="26">
        <f t="shared" si="0"/>
        <v>178.81967948721007</v>
      </c>
    </row>
    <row r="79" spans="1:6" x14ac:dyDescent="0.25">
      <c r="A79" s="21" t="s">
        <v>379</v>
      </c>
      <c r="B79" s="43">
        <v>1309.5847222222947</v>
      </c>
      <c r="C79" s="43">
        <v>10</v>
      </c>
      <c r="D79" s="43">
        <v>10</v>
      </c>
      <c r="E79" s="43">
        <v>10</v>
      </c>
      <c r="F79" s="26">
        <f t="shared" si="0"/>
        <v>130.95847222222946</v>
      </c>
    </row>
    <row r="80" spans="1:6" x14ac:dyDescent="0.25">
      <c r="A80" s="21" t="s">
        <v>158</v>
      </c>
      <c r="B80" s="43">
        <v>1617.8911111110938</v>
      </c>
      <c r="C80" s="43">
        <v>11</v>
      </c>
      <c r="D80" s="43">
        <v>16</v>
      </c>
      <c r="E80" s="43">
        <v>16</v>
      </c>
      <c r="F80" s="26">
        <f t="shared" si="0"/>
        <v>147.08101010100853</v>
      </c>
    </row>
    <row r="81" spans="1:6" x14ac:dyDescent="0.25">
      <c r="A81" s="21" t="s">
        <v>1326</v>
      </c>
      <c r="B81" s="43">
        <v>25576.254722221987</v>
      </c>
      <c r="C81" s="43">
        <v>158</v>
      </c>
      <c r="D81" s="43">
        <v>225</v>
      </c>
      <c r="E81" s="43">
        <v>225</v>
      </c>
      <c r="F81" s="26">
        <f t="shared" si="0"/>
        <v>161.87502988748093</v>
      </c>
    </row>
    <row r="83" spans="1:6" ht="13.8" x14ac:dyDescent="0.25">
      <c r="A83" s="37" t="s">
        <v>1350</v>
      </c>
    </row>
    <row r="84" spans="1:6" x14ac:dyDescent="0.25">
      <c r="A84" s="35" t="s">
        <v>1352</v>
      </c>
    </row>
    <row r="85" spans="1:6" x14ac:dyDescent="0.25">
      <c r="A85" s="36" t="s">
        <v>1353</v>
      </c>
    </row>
    <row r="86" spans="1:6" x14ac:dyDescent="0.25">
      <c r="A86" s="35" t="s">
        <v>1351</v>
      </c>
    </row>
    <row r="87" spans="1:6" x14ac:dyDescent="0.25">
      <c r="A87" s="38"/>
    </row>
    <row r="88" spans="1:6" ht="13.8" x14ac:dyDescent="0.25">
      <c r="A88" s="34" t="s">
        <v>1340</v>
      </c>
    </row>
    <row r="89" spans="1:6" x14ac:dyDescent="0.25">
      <c r="A89" s="20" t="s">
        <v>1327</v>
      </c>
      <c r="B89" s="20" t="s">
        <v>1334</v>
      </c>
    </row>
    <row r="90" spans="1:6" x14ac:dyDescent="0.25">
      <c r="A90" s="20" t="s">
        <v>1286</v>
      </c>
      <c r="B90" t="s">
        <v>177</v>
      </c>
      <c r="C90" t="s">
        <v>48</v>
      </c>
      <c r="D90" t="s">
        <v>41</v>
      </c>
      <c r="E90" t="s">
        <v>1326</v>
      </c>
    </row>
    <row r="91" spans="1:6" x14ac:dyDescent="0.25">
      <c r="A91" s="21" t="s">
        <v>92</v>
      </c>
      <c r="B91" s="43">
        <v>5</v>
      </c>
      <c r="C91" s="43">
        <v>4</v>
      </c>
      <c r="D91" s="43">
        <v>6</v>
      </c>
      <c r="E91" s="43">
        <v>15</v>
      </c>
    </row>
    <row r="92" spans="1:6" x14ac:dyDescent="0.25">
      <c r="A92" s="21" t="s">
        <v>68</v>
      </c>
      <c r="B92" s="43">
        <v>5</v>
      </c>
      <c r="C92" s="43">
        <v>3</v>
      </c>
      <c r="D92" s="43">
        <v>6</v>
      </c>
      <c r="E92" s="43">
        <v>14</v>
      </c>
    </row>
    <row r="93" spans="1:6" x14ac:dyDescent="0.25">
      <c r="A93" s="21" t="s">
        <v>216</v>
      </c>
      <c r="B93" s="43">
        <v>2</v>
      </c>
      <c r="C93" s="43">
        <v>7</v>
      </c>
      <c r="D93" s="43">
        <v>5</v>
      </c>
      <c r="E93" s="43">
        <v>14</v>
      </c>
    </row>
    <row r="94" spans="1:6" x14ac:dyDescent="0.25">
      <c r="A94" s="21" t="s">
        <v>60</v>
      </c>
      <c r="B94" s="43">
        <v>5</v>
      </c>
      <c r="C94" s="43">
        <v>4</v>
      </c>
      <c r="D94" s="43">
        <v>4</v>
      </c>
      <c r="E94" s="43">
        <v>13</v>
      </c>
    </row>
    <row r="95" spans="1:6" x14ac:dyDescent="0.25">
      <c r="A95" s="21" t="s">
        <v>189</v>
      </c>
      <c r="B95" s="43">
        <v>8</v>
      </c>
      <c r="C95" s="43">
        <v>2</v>
      </c>
      <c r="D95" s="43">
        <v>3</v>
      </c>
      <c r="E95" s="43">
        <v>13</v>
      </c>
    </row>
    <row r="96" spans="1:6" x14ac:dyDescent="0.25">
      <c r="A96" s="21" t="s">
        <v>242</v>
      </c>
      <c r="B96" s="43">
        <v>1</v>
      </c>
      <c r="C96" s="43">
        <v>6</v>
      </c>
      <c r="D96" s="43">
        <v>5</v>
      </c>
      <c r="E96" s="43">
        <v>12</v>
      </c>
    </row>
    <row r="97" spans="1:5" x14ac:dyDescent="0.25">
      <c r="A97" s="21" t="s">
        <v>29</v>
      </c>
      <c r="B97" s="43">
        <v>1</v>
      </c>
      <c r="C97" s="43">
        <v>4</v>
      </c>
      <c r="D97" s="43">
        <v>7</v>
      </c>
      <c r="E97" s="43">
        <v>12</v>
      </c>
    </row>
    <row r="98" spans="1:5" x14ac:dyDescent="0.25">
      <c r="A98" s="21" t="s">
        <v>158</v>
      </c>
      <c r="B98" s="43">
        <v>2</v>
      </c>
      <c r="C98" s="43">
        <v>4</v>
      </c>
      <c r="D98" s="43">
        <v>6</v>
      </c>
      <c r="E98" s="43">
        <v>12</v>
      </c>
    </row>
    <row r="99" spans="1:5" x14ac:dyDescent="0.25">
      <c r="A99" s="21" t="s">
        <v>285</v>
      </c>
      <c r="B99" s="43">
        <v>3</v>
      </c>
      <c r="C99" s="43">
        <v>5</v>
      </c>
      <c r="D99" s="43">
        <v>3</v>
      </c>
      <c r="E99" s="43">
        <v>11</v>
      </c>
    </row>
    <row r="100" spans="1:5" x14ac:dyDescent="0.25">
      <c r="A100" s="21" t="s">
        <v>148</v>
      </c>
      <c r="B100" s="43">
        <v>3</v>
      </c>
      <c r="C100" s="43">
        <v>3</v>
      </c>
      <c r="D100" s="43">
        <v>5</v>
      </c>
      <c r="E100" s="43">
        <v>11</v>
      </c>
    </row>
    <row r="101" spans="1:5" x14ac:dyDescent="0.25">
      <c r="A101" s="21" t="s">
        <v>132</v>
      </c>
      <c r="B101" s="43">
        <v>4</v>
      </c>
      <c r="C101" s="43">
        <v>3</v>
      </c>
      <c r="D101" s="43">
        <v>4</v>
      </c>
      <c r="E101" s="43">
        <v>11</v>
      </c>
    </row>
    <row r="102" spans="1:5" x14ac:dyDescent="0.25">
      <c r="A102" s="21" t="s">
        <v>125</v>
      </c>
      <c r="B102" s="43">
        <v>4</v>
      </c>
      <c r="C102" s="43">
        <v>2</v>
      </c>
      <c r="D102" s="43">
        <v>3</v>
      </c>
      <c r="E102" s="43">
        <v>9</v>
      </c>
    </row>
    <row r="103" spans="1:5" x14ac:dyDescent="0.25">
      <c r="A103" s="21" t="s">
        <v>585</v>
      </c>
      <c r="B103" s="43">
        <v>1</v>
      </c>
      <c r="C103" s="43">
        <v>4</v>
      </c>
      <c r="D103" s="43">
        <v>3</v>
      </c>
      <c r="E103" s="43">
        <v>8</v>
      </c>
    </row>
    <row r="104" spans="1:5" x14ac:dyDescent="0.25">
      <c r="A104" s="21" t="s">
        <v>379</v>
      </c>
      <c r="B104" s="43">
        <v>3</v>
      </c>
      <c r="C104" s="43">
        <v>1</v>
      </c>
      <c r="D104" s="43">
        <v>3</v>
      </c>
      <c r="E104" s="43">
        <v>7</v>
      </c>
    </row>
    <row r="105" spans="1:5" x14ac:dyDescent="0.25">
      <c r="A105" s="21" t="s">
        <v>1326</v>
      </c>
      <c r="B105" s="43">
        <v>47</v>
      </c>
      <c r="C105" s="43">
        <v>52</v>
      </c>
      <c r="D105" s="43">
        <v>63</v>
      </c>
      <c r="E105" s="43">
        <v>162</v>
      </c>
    </row>
    <row r="130" spans="1:93" ht="13.8" x14ac:dyDescent="0.25">
      <c r="A130" s="37" t="s">
        <v>1354</v>
      </c>
    </row>
    <row r="131" spans="1:93" x14ac:dyDescent="0.25">
      <c r="A131" s="35" t="s">
        <v>1355</v>
      </c>
    </row>
    <row r="132" spans="1:93" x14ac:dyDescent="0.25">
      <c r="A132" s="36" t="s">
        <v>1356</v>
      </c>
    </row>
    <row r="133" spans="1:93" x14ac:dyDescent="0.25">
      <c r="A133" s="35" t="s">
        <v>1357</v>
      </c>
    </row>
    <row r="134" spans="1:93" x14ac:dyDescent="0.25">
      <c r="A134" s="35"/>
    </row>
    <row r="135" spans="1:93" ht="13.8" x14ac:dyDescent="0.25">
      <c r="A135" s="33" t="s">
        <v>1375</v>
      </c>
    </row>
    <row r="136" spans="1:93" x14ac:dyDescent="0.25">
      <c r="A136" s="20" t="s">
        <v>1286</v>
      </c>
      <c r="B136" t="s">
        <v>1333</v>
      </c>
      <c r="C136" t="s">
        <v>1358</v>
      </c>
      <c r="D136" t="s">
        <v>1335</v>
      </c>
    </row>
    <row r="137" spans="1:93" x14ac:dyDescent="0.25">
      <c r="A137" s="21" t="s">
        <v>68</v>
      </c>
      <c r="B137" s="43">
        <v>151.38149691358558</v>
      </c>
      <c r="C137" s="43">
        <v>289.87277777778218</v>
      </c>
      <c r="D137" s="43">
        <v>18</v>
      </c>
    </row>
    <row r="138" spans="1:93" x14ac:dyDescent="0.25">
      <c r="A138" s="21" t="s">
        <v>379</v>
      </c>
      <c r="B138" s="43">
        <v>130.95847222222946</v>
      </c>
      <c r="C138" s="43">
        <v>259.11583333346061</v>
      </c>
      <c r="D138" s="43">
        <v>10</v>
      </c>
    </row>
    <row r="139" spans="1:93" x14ac:dyDescent="0.25">
      <c r="A139" s="21" t="s">
        <v>60</v>
      </c>
      <c r="B139" s="43">
        <v>129.14754629631838</v>
      </c>
      <c r="C139" s="43">
        <v>286.616388888855</v>
      </c>
      <c r="D139" s="43">
        <v>18</v>
      </c>
    </row>
    <row r="140" spans="1:93" x14ac:dyDescent="0.25">
      <c r="A140" s="21" t="s">
        <v>585</v>
      </c>
      <c r="B140" s="43">
        <v>126.44222222220768</v>
      </c>
      <c r="C140" s="43">
        <v>285.91972222225741</v>
      </c>
      <c r="D140" s="43">
        <v>14</v>
      </c>
    </row>
    <row r="141" spans="1:93" x14ac:dyDescent="0.25">
      <c r="A141" s="21" t="s">
        <v>148</v>
      </c>
      <c r="B141" s="43">
        <v>121.87065476191181</v>
      </c>
      <c r="C141" s="43">
        <v>293.17749999999069</v>
      </c>
      <c r="D141" s="43">
        <v>14</v>
      </c>
    </row>
    <row r="142" spans="1:93" x14ac:dyDescent="0.25">
      <c r="A142" s="21" t="s">
        <v>125</v>
      </c>
      <c r="B142" s="43">
        <v>119.56934027777606</v>
      </c>
      <c r="C142" s="43">
        <v>262.15472222235985</v>
      </c>
      <c r="D142" s="43">
        <v>16</v>
      </c>
    </row>
    <row r="143" spans="1:93" x14ac:dyDescent="0.25">
      <c r="A143" s="21" t="s">
        <v>216</v>
      </c>
      <c r="B143" s="43">
        <v>118.97735294116907</v>
      </c>
      <c r="C143" s="43">
        <v>285.28777777781943</v>
      </c>
      <c r="D143" s="43">
        <v>17</v>
      </c>
      <c r="CN143" s="42" t="s">
        <v>1286</v>
      </c>
      <c r="CO143" s="42" t="s">
        <v>1333</v>
      </c>
    </row>
    <row r="144" spans="1:93" x14ac:dyDescent="0.25">
      <c r="A144" s="21" t="s">
        <v>242</v>
      </c>
      <c r="B144" s="43">
        <v>109.94550347222321</v>
      </c>
      <c r="C144" s="43">
        <v>265.45083333319053</v>
      </c>
      <c r="D144" s="43">
        <v>16</v>
      </c>
      <c r="CN144" s="21" t="s">
        <v>68</v>
      </c>
      <c r="CO144" s="43">
        <v>151.38149691358558</v>
      </c>
    </row>
    <row r="145" spans="1:93" x14ac:dyDescent="0.25">
      <c r="A145" s="21" t="s">
        <v>189</v>
      </c>
      <c r="B145" s="43">
        <v>109.1579824561486</v>
      </c>
      <c r="C145" s="43">
        <v>285.05111111118458</v>
      </c>
      <c r="D145" s="43">
        <v>19</v>
      </c>
      <c r="CN145" s="21" t="s">
        <v>379</v>
      </c>
      <c r="CO145" s="43">
        <v>130.95847222222946</v>
      </c>
    </row>
    <row r="146" spans="1:93" x14ac:dyDescent="0.25">
      <c r="A146" s="21" t="s">
        <v>132</v>
      </c>
      <c r="B146" s="43">
        <v>105.71630952379201</v>
      </c>
      <c r="C146" s="43">
        <v>285.72444444440771</v>
      </c>
      <c r="D146" s="43">
        <v>14</v>
      </c>
      <c r="CN146" s="21" t="s">
        <v>60</v>
      </c>
      <c r="CO146" s="43">
        <v>129.14754629631838</v>
      </c>
    </row>
    <row r="147" spans="1:93" x14ac:dyDescent="0.25">
      <c r="A147" s="21" t="s">
        <v>92</v>
      </c>
      <c r="B147" s="43">
        <v>101.80334656083558</v>
      </c>
      <c r="C147" s="43">
        <v>270.74083333328599</v>
      </c>
      <c r="D147" s="43">
        <v>21</v>
      </c>
      <c r="CN147" s="21" t="s">
        <v>585</v>
      </c>
      <c r="CO147" s="43">
        <v>126.44222222220768</v>
      </c>
    </row>
    <row r="148" spans="1:93" x14ac:dyDescent="0.25">
      <c r="A148" s="21" t="s">
        <v>158</v>
      </c>
      <c r="B148" s="43">
        <v>101.11819444444336</v>
      </c>
      <c r="C148" s="43">
        <v>287.80611111101462</v>
      </c>
      <c r="D148" s="43">
        <v>16</v>
      </c>
      <c r="CN148" s="21" t="s">
        <v>148</v>
      </c>
      <c r="CO148" s="43">
        <v>121.87065476191181</v>
      </c>
    </row>
    <row r="149" spans="1:93" x14ac:dyDescent="0.25">
      <c r="A149" s="21" t="s">
        <v>285</v>
      </c>
      <c r="B149" s="43">
        <v>99.899583333313259</v>
      </c>
      <c r="C149" s="43">
        <v>293.80388888897141</v>
      </c>
      <c r="D149" s="43">
        <v>14</v>
      </c>
      <c r="CN149" s="21" t="s">
        <v>125</v>
      </c>
      <c r="CO149" s="43">
        <v>119.56934027777606</v>
      </c>
    </row>
    <row r="150" spans="1:93" x14ac:dyDescent="0.25">
      <c r="A150" s="21" t="s">
        <v>29</v>
      </c>
      <c r="B150" s="43">
        <v>74.307160493830452</v>
      </c>
      <c r="C150" s="43">
        <v>287.9013888888876</v>
      </c>
      <c r="D150" s="43">
        <v>18</v>
      </c>
      <c r="CN150" s="21" t="s">
        <v>216</v>
      </c>
      <c r="CO150" s="43">
        <v>118.97735294116907</v>
      </c>
    </row>
    <row r="151" spans="1:93" x14ac:dyDescent="0.25">
      <c r="A151" s="21" t="s">
        <v>1326</v>
      </c>
      <c r="B151" s="43">
        <v>113.6722432098755</v>
      </c>
      <c r="C151" s="43">
        <v>293.80388888897141</v>
      </c>
      <c r="D151" s="43">
        <v>225</v>
      </c>
      <c r="CN151" s="21" t="s">
        <v>242</v>
      </c>
      <c r="CO151" s="43">
        <v>109.94550347222321</v>
      </c>
    </row>
    <row r="152" spans="1:93" x14ac:dyDescent="0.25">
      <c r="CN152" s="21" t="s">
        <v>189</v>
      </c>
      <c r="CO152" s="43">
        <v>109.1579824561486</v>
      </c>
    </row>
    <row r="153" spans="1:93" x14ac:dyDescent="0.25">
      <c r="CN153" s="21" t="s">
        <v>132</v>
      </c>
      <c r="CO153" s="43">
        <v>105.71630952379201</v>
      </c>
    </row>
    <row r="154" spans="1:93" x14ac:dyDescent="0.25">
      <c r="CN154" s="21" t="s">
        <v>92</v>
      </c>
      <c r="CO154" s="43">
        <v>101.80334656083558</v>
      </c>
    </row>
    <row r="155" spans="1:93" x14ac:dyDescent="0.25">
      <c r="CN155" s="21" t="s">
        <v>158</v>
      </c>
      <c r="CO155" s="43">
        <v>101.11819444444336</v>
      </c>
    </row>
    <row r="156" spans="1:93" x14ac:dyDescent="0.25">
      <c r="CN156" s="21" t="s">
        <v>285</v>
      </c>
      <c r="CO156" s="43">
        <v>99.899583333313259</v>
      </c>
    </row>
    <row r="157" spans="1:93" x14ac:dyDescent="0.25">
      <c r="CN157" s="21" t="s">
        <v>29</v>
      </c>
      <c r="CO157" s="43">
        <v>74.307160493830452</v>
      </c>
    </row>
    <row r="173" spans="1:1" ht="13.8" x14ac:dyDescent="0.25">
      <c r="A173" s="33" t="s">
        <v>1369</v>
      </c>
    </row>
    <row r="174" spans="1:1" x14ac:dyDescent="0.25">
      <c r="A174" s="44" t="s">
        <v>1374</v>
      </c>
    </row>
    <row r="175" spans="1:1" x14ac:dyDescent="0.25">
      <c r="A175" s="8" t="s">
        <v>1382</v>
      </c>
    </row>
    <row r="176" spans="1:1" x14ac:dyDescent="0.25">
      <c r="A176" s="36" t="s">
        <v>1370</v>
      </c>
    </row>
    <row r="177" spans="1:1" x14ac:dyDescent="0.25">
      <c r="A177" s="36" t="s">
        <v>1371</v>
      </c>
    </row>
    <row r="178" spans="1:1" x14ac:dyDescent="0.25">
      <c r="A178" s="36" t="s">
        <v>1372</v>
      </c>
    </row>
    <row r="179" spans="1:1" x14ac:dyDescent="0.25">
      <c r="A179" s="36" t="s">
        <v>1373</v>
      </c>
    </row>
    <row r="182" spans="1:1" x14ac:dyDescent="0.25">
      <c r="A182" s="35"/>
    </row>
    <row r="184" spans="1:1" x14ac:dyDescent="0.25">
      <c r="A184" s="35"/>
    </row>
  </sheetData>
  <mergeCells count="4">
    <mergeCell ref="A21:B21"/>
    <mergeCell ref="A22:B22"/>
    <mergeCell ref="A23:B23"/>
    <mergeCell ref="A24:B24"/>
  </mergeCells>
  <conditionalFormatting pivot="1" sqref="B137:B150">
    <cfRule type="colorScale" priority="7">
      <colorScale>
        <cfvo type="min"/>
        <cfvo type="max"/>
        <color theme="5"/>
        <color theme="7"/>
      </colorScale>
    </cfRule>
  </conditionalFormatting>
  <conditionalFormatting pivot="1" sqref="B137:B150">
    <cfRule type="colorScale" priority="6">
      <colorScale>
        <cfvo type="min"/>
        <cfvo type="percentile" val="50"/>
        <cfvo type="max"/>
        <color rgb="FFF8696B"/>
        <color rgb="FFFFEB84"/>
        <color rgb="FF63BE7B"/>
      </colorScale>
    </cfRule>
  </conditionalFormatting>
  <conditionalFormatting pivot="1" sqref="C137:C150">
    <cfRule type="colorScale" priority="5">
      <colorScale>
        <cfvo type="min"/>
        <cfvo type="percentile" val="50"/>
        <cfvo type="max"/>
        <color rgb="FFF8696B"/>
        <color rgb="FFFFEB84"/>
        <color rgb="FF63BE7B"/>
      </colorScale>
    </cfRule>
  </conditionalFormatting>
  <conditionalFormatting sqref="CO144:CO157">
    <cfRule type="colorScale" priority="2">
      <colorScale>
        <cfvo type="min"/>
        <cfvo type="max"/>
        <color theme="5"/>
        <color theme="7"/>
      </colorScale>
    </cfRule>
  </conditionalFormatting>
  <conditionalFormatting sqref="CO144:CO157">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5"/>
  <drawing r:id="rId6"/>
  <tableParts count="2">
    <tablePart r:id="rId7"/>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20057-1E91-43D7-8AD9-635D8CED7804}">
  <dimension ref="A1:F178"/>
  <sheetViews>
    <sheetView topLeftCell="A144" zoomScale="79" zoomScaleNormal="85" workbookViewId="0">
      <selection activeCell="I51" sqref="I51"/>
    </sheetView>
  </sheetViews>
  <sheetFormatPr defaultRowHeight="13.2" x14ac:dyDescent="0.25"/>
  <cols>
    <col min="1" max="1" width="13.33203125" bestFit="1" customWidth="1"/>
    <col min="2" max="2" width="12.109375" bestFit="1" customWidth="1"/>
    <col min="3" max="3" width="5.21875" bestFit="1" customWidth="1"/>
    <col min="4" max="4" width="7.88671875" bestFit="1" customWidth="1"/>
    <col min="5" max="5" width="6.109375" bestFit="1" customWidth="1"/>
    <col min="6" max="6" width="11.33203125" bestFit="1" customWidth="1"/>
  </cols>
  <sheetData>
    <row r="1" spans="1:2" ht="22.8" x14ac:dyDescent="0.4">
      <c r="A1" s="46" t="s">
        <v>1377</v>
      </c>
      <c r="B1" s="45"/>
    </row>
    <row r="3" spans="1:2" ht="13.8" x14ac:dyDescent="0.25">
      <c r="A3" s="33" t="s">
        <v>1378</v>
      </c>
    </row>
    <row r="4" spans="1:2" x14ac:dyDescent="0.25">
      <c r="A4" s="20" t="s">
        <v>1327</v>
      </c>
      <c r="B4" t="s">
        <v>1327</v>
      </c>
    </row>
    <row r="5" spans="1:2" x14ac:dyDescent="0.25">
      <c r="A5" s="21" t="s">
        <v>1363</v>
      </c>
      <c r="B5" s="43">
        <v>15</v>
      </c>
    </row>
    <row r="6" spans="1:2" x14ac:dyDescent="0.25">
      <c r="A6" s="21" t="s">
        <v>1359</v>
      </c>
      <c r="B6" s="43">
        <v>32</v>
      </c>
    </row>
    <row r="7" spans="1:2" x14ac:dyDescent="0.25">
      <c r="A7" s="21" t="s">
        <v>1367</v>
      </c>
      <c r="B7" s="43">
        <v>24</v>
      </c>
    </row>
    <row r="8" spans="1:2" x14ac:dyDescent="0.25">
      <c r="A8" s="21" t="s">
        <v>1368</v>
      </c>
      <c r="B8" s="43">
        <v>35</v>
      </c>
    </row>
    <row r="9" spans="1:2" x14ac:dyDescent="0.25">
      <c r="A9" s="21" t="s">
        <v>1364</v>
      </c>
      <c r="B9" s="43">
        <v>34</v>
      </c>
    </row>
    <row r="10" spans="1:2" x14ac:dyDescent="0.25">
      <c r="A10" s="21" t="s">
        <v>1365</v>
      </c>
      <c r="B10" s="43">
        <v>18</v>
      </c>
    </row>
    <row r="11" spans="1:2" x14ac:dyDescent="0.25">
      <c r="A11" s="21" t="s">
        <v>1366</v>
      </c>
      <c r="B11" s="43">
        <v>33</v>
      </c>
    </row>
    <row r="12" spans="1:2" x14ac:dyDescent="0.25">
      <c r="A12" s="21" t="s">
        <v>1361</v>
      </c>
      <c r="B12" s="43">
        <v>34</v>
      </c>
    </row>
    <row r="13" spans="1:2" x14ac:dyDescent="0.25">
      <c r="A13" s="21" t="s">
        <v>1326</v>
      </c>
      <c r="B13" s="43">
        <v>225</v>
      </c>
    </row>
    <row r="34" spans="1:2" ht="13.8" x14ac:dyDescent="0.25">
      <c r="A34" s="33" t="s">
        <v>1379</v>
      </c>
    </row>
    <row r="35" spans="1:2" x14ac:dyDescent="0.25">
      <c r="A35" s="20" t="s">
        <v>1327</v>
      </c>
      <c r="B35" t="s">
        <v>1327</v>
      </c>
    </row>
    <row r="36" spans="1:2" x14ac:dyDescent="0.25">
      <c r="A36" s="21" t="s">
        <v>1360</v>
      </c>
      <c r="B36" s="43">
        <v>140</v>
      </c>
    </row>
    <row r="37" spans="1:2" x14ac:dyDescent="0.25">
      <c r="A37" s="21" t="s">
        <v>1362</v>
      </c>
      <c r="B37" s="43">
        <v>85</v>
      </c>
    </row>
    <row r="38" spans="1:2" x14ac:dyDescent="0.25">
      <c r="A38" s="21" t="s">
        <v>1326</v>
      </c>
      <c r="B38" s="43">
        <v>225</v>
      </c>
    </row>
    <row r="56" spans="1:6" ht="13.8" x14ac:dyDescent="0.25">
      <c r="A56" s="33" t="s">
        <v>1383</v>
      </c>
    </row>
    <row r="57" spans="1:6" x14ac:dyDescent="0.25">
      <c r="A57" s="8" t="s">
        <v>1380</v>
      </c>
    </row>
    <row r="58" spans="1:6" x14ac:dyDescent="0.25">
      <c r="A58" s="8" t="s">
        <v>1381</v>
      </c>
    </row>
    <row r="61" spans="1:6" ht="13.8" x14ac:dyDescent="0.25">
      <c r="A61" s="47" t="s">
        <v>1385</v>
      </c>
    </row>
    <row r="62" spans="1:6" x14ac:dyDescent="0.25">
      <c r="A62" s="20" t="s">
        <v>1327</v>
      </c>
      <c r="B62" s="20" t="s">
        <v>1334</v>
      </c>
    </row>
    <row r="63" spans="1:6" x14ac:dyDescent="0.25">
      <c r="A63" s="20" t="s">
        <v>1384</v>
      </c>
      <c r="B63" t="s">
        <v>28</v>
      </c>
      <c r="C63" t="s">
        <v>177</v>
      </c>
      <c r="D63" t="s">
        <v>48</v>
      </c>
      <c r="E63" t="s">
        <v>41</v>
      </c>
      <c r="F63" t="s">
        <v>1326</v>
      </c>
    </row>
    <row r="64" spans="1:6" x14ac:dyDescent="0.25">
      <c r="A64" s="21" t="s">
        <v>189</v>
      </c>
      <c r="B64" s="43">
        <v>6</v>
      </c>
      <c r="C64" s="43">
        <v>8</v>
      </c>
      <c r="D64" s="43">
        <v>2</v>
      </c>
      <c r="E64" s="43">
        <v>3</v>
      </c>
      <c r="F64" s="43">
        <v>19</v>
      </c>
    </row>
    <row r="65" spans="1:6" x14ac:dyDescent="0.25">
      <c r="A65" s="21" t="s">
        <v>68</v>
      </c>
      <c r="B65" s="43">
        <v>4</v>
      </c>
      <c r="C65" s="43">
        <v>5</v>
      </c>
      <c r="D65" s="43">
        <v>3</v>
      </c>
      <c r="E65" s="43">
        <v>6</v>
      </c>
      <c r="F65" s="43">
        <v>18</v>
      </c>
    </row>
    <row r="66" spans="1:6" x14ac:dyDescent="0.25">
      <c r="A66" s="21" t="s">
        <v>242</v>
      </c>
      <c r="B66" s="43">
        <v>4</v>
      </c>
      <c r="C66" s="43">
        <v>1</v>
      </c>
      <c r="D66" s="43">
        <v>6</v>
      </c>
      <c r="E66" s="43">
        <v>5</v>
      </c>
      <c r="F66" s="43">
        <v>16</v>
      </c>
    </row>
    <row r="67" spans="1:6" x14ac:dyDescent="0.25">
      <c r="A67" s="21" t="s">
        <v>148</v>
      </c>
      <c r="B67" s="43">
        <v>3</v>
      </c>
      <c r="C67" s="43">
        <v>3</v>
      </c>
      <c r="D67" s="43">
        <v>3</v>
      </c>
      <c r="E67" s="43">
        <v>5</v>
      </c>
      <c r="F67" s="43">
        <v>14</v>
      </c>
    </row>
    <row r="68" spans="1:6" x14ac:dyDescent="0.25">
      <c r="A68" s="21" t="s">
        <v>285</v>
      </c>
      <c r="B68" s="43">
        <v>3</v>
      </c>
      <c r="C68" s="43">
        <v>3</v>
      </c>
      <c r="D68" s="43">
        <v>5</v>
      </c>
      <c r="E68" s="43">
        <v>3</v>
      </c>
      <c r="F68" s="43">
        <v>14</v>
      </c>
    </row>
    <row r="69" spans="1:6" x14ac:dyDescent="0.25">
      <c r="A69" s="21" t="s">
        <v>92</v>
      </c>
      <c r="B69" s="43">
        <v>6</v>
      </c>
      <c r="C69" s="43">
        <v>5</v>
      </c>
      <c r="D69" s="43">
        <v>4</v>
      </c>
      <c r="E69" s="43">
        <v>6</v>
      </c>
      <c r="F69" s="43">
        <v>21</v>
      </c>
    </row>
    <row r="70" spans="1:6" x14ac:dyDescent="0.25">
      <c r="A70" s="21" t="s">
        <v>216</v>
      </c>
      <c r="B70" s="43">
        <v>3</v>
      </c>
      <c r="C70" s="43">
        <v>2</v>
      </c>
      <c r="D70" s="43">
        <v>7</v>
      </c>
      <c r="E70" s="43">
        <v>5</v>
      </c>
      <c r="F70" s="43">
        <v>17</v>
      </c>
    </row>
    <row r="71" spans="1:6" x14ac:dyDescent="0.25">
      <c r="A71" s="21" t="s">
        <v>132</v>
      </c>
      <c r="B71" s="43">
        <v>3</v>
      </c>
      <c r="C71" s="43">
        <v>4</v>
      </c>
      <c r="D71" s="43">
        <v>3</v>
      </c>
      <c r="E71" s="43">
        <v>4</v>
      </c>
      <c r="F71" s="43">
        <v>14</v>
      </c>
    </row>
    <row r="72" spans="1:6" x14ac:dyDescent="0.25">
      <c r="A72" s="21" t="s">
        <v>585</v>
      </c>
      <c r="B72" s="43">
        <v>6</v>
      </c>
      <c r="C72" s="43">
        <v>1</v>
      </c>
      <c r="D72" s="43">
        <v>4</v>
      </c>
      <c r="E72" s="43">
        <v>3</v>
      </c>
      <c r="F72" s="43">
        <v>14</v>
      </c>
    </row>
    <row r="73" spans="1:6" x14ac:dyDescent="0.25">
      <c r="A73" s="21" t="s">
        <v>29</v>
      </c>
      <c r="B73" s="43">
        <v>6</v>
      </c>
      <c r="C73" s="43">
        <v>1</v>
      </c>
      <c r="D73" s="43">
        <v>4</v>
      </c>
      <c r="E73" s="43">
        <v>7</v>
      </c>
      <c r="F73" s="43">
        <v>18</v>
      </c>
    </row>
    <row r="74" spans="1:6" x14ac:dyDescent="0.25">
      <c r="A74" s="21" t="s">
        <v>125</v>
      </c>
      <c r="B74" s="43">
        <v>7</v>
      </c>
      <c r="C74" s="43">
        <v>4</v>
      </c>
      <c r="D74" s="43">
        <v>2</v>
      </c>
      <c r="E74" s="43">
        <v>3</v>
      </c>
      <c r="F74" s="43">
        <v>16</v>
      </c>
    </row>
    <row r="75" spans="1:6" x14ac:dyDescent="0.25">
      <c r="A75" s="21" t="s">
        <v>60</v>
      </c>
      <c r="B75" s="43">
        <v>5</v>
      </c>
      <c r="C75" s="43">
        <v>5</v>
      </c>
      <c r="D75" s="43">
        <v>4</v>
      </c>
      <c r="E75" s="43">
        <v>4</v>
      </c>
      <c r="F75" s="43">
        <v>18</v>
      </c>
    </row>
    <row r="76" spans="1:6" x14ac:dyDescent="0.25">
      <c r="A76" s="21" t="s">
        <v>379</v>
      </c>
      <c r="B76" s="43">
        <v>3</v>
      </c>
      <c r="C76" s="43">
        <v>3</v>
      </c>
      <c r="D76" s="43">
        <v>1</v>
      </c>
      <c r="E76" s="43">
        <v>3</v>
      </c>
      <c r="F76" s="43">
        <v>10</v>
      </c>
    </row>
    <row r="77" spans="1:6" x14ac:dyDescent="0.25">
      <c r="A77" s="21" t="s">
        <v>158</v>
      </c>
      <c r="B77" s="43">
        <v>4</v>
      </c>
      <c r="C77" s="43">
        <v>2</v>
      </c>
      <c r="D77" s="43">
        <v>4</v>
      </c>
      <c r="E77" s="43">
        <v>6</v>
      </c>
      <c r="F77" s="43">
        <v>16</v>
      </c>
    </row>
    <row r="78" spans="1:6" x14ac:dyDescent="0.25">
      <c r="A78" s="21" t="s">
        <v>1326</v>
      </c>
      <c r="B78" s="43">
        <v>63</v>
      </c>
      <c r="C78" s="43">
        <v>47</v>
      </c>
      <c r="D78" s="43">
        <v>52</v>
      </c>
      <c r="E78" s="43">
        <v>63</v>
      </c>
      <c r="F78" s="43">
        <v>225</v>
      </c>
    </row>
    <row r="102" spans="1:4" ht="13.8" x14ac:dyDescent="0.25">
      <c r="A102" s="33" t="s">
        <v>1383</v>
      </c>
    </row>
    <row r="103" spans="1:4" x14ac:dyDescent="0.25">
      <c r="A103" s="8" t="s">
        <v>1386</v>
      </c>
    </row>
    <row r="104" spans="1:4" x14ac:dyDescent="0.25">
      <c r="A104" s="8" t="s">
        <v>1387</v>
      </c>
    </row>
    <row r="107" spans="1:4" ht="13.8" x14ac:dyDescent="0.25">
      <c r="A107" s="33" t="s">
        <v>1388</v>
      </c>
    </row>
    <row r="108" spans="1:4" x14ac:dyDescent="0.25">
      <c r="A108" s="20" t="s">
        <v>1376</v>
      </c>
      <c r="B108" t="s">
        <v>1327</v>
      </c>
      <c r="C108" t="s">
        <v>1333</v>
      </c>
      <c r="D108" t="s">
        <v>1390</v>
      </c>
    </row>
    <row r="109" spans="1:4" x14ac:dyDescent="0.25">
      <c r="A109" s="21" t="s">
        <v>71</v>
      </c>
      <c r="B109" s="43">
        <v>15</v>
      </c>
      <c r="C109" s="43">
        <v>164.25170370372945</v>
      </c>
      <c r="D109" s="43">
        <v>293.80388888897141</v>
      </c>
    </row>
    <row r="110" spans="1:4" x14ac:dyDescent="0.25">
      <c r="A110" s="21" t="s">
        <v>20</v>
      </c>
      <c r="B110" s="43">
        <v>22</v>
      </c>
      <c r="C110" s="43">
        <v>152.13181818184569</v>
      </c>
      <c r="D110" s="43">
        <v>265.27194444439374</v>
      </c>
    </row>
    <row r="111" spans="1:4" x14ac:dyDescent="0.25">
      <c r="A111" s="21" t="s">
        <v>104</v>
      </c>
      <c r="B111" s="43">
        <v>38</v>
      </c>
      <c r="C111" s="43">
        <v>128.323216374239</v>
      </c>
      <c r="D111" s="43">
        <v>293.17749999999069</v>
      </c>
    </row>
    <row r="112" spans="1:4" x14ac:dyDescent="0.25">
      <c r="A112" s="21" t="s">
        <v>113</v>
      </c>
      <c r="B112" s="43">
        <v>19</v>
      </c>
      <c r="C112" s="43">
        <v>122.95004385963425</v>
      </c>
      <c r="D112" s="43">
        <v>287.9013888888876</v>
      </c>
    </row>
    <row r="113" spans="1:4" x14ac:dyDescent="0.25">
      <c r="A113" s="21" t="s">
        <v>80</v>
      </c>
      <c r="B113" s="43">
        <v>17</v>
      </c>
      <c r="C113" s="43">
        <v>119.33655228758889</v>
      </c>
      <c r="D113" s="43">
        <v>285.28777777781943</v>
      </c>
    </row>
    <row r="114" spans="1:4" x14ac:dyDescent="0.25">
      <c r="A114" s="21" t="s">
        <v>44</v>
      </c>
      <c r="B114" s="43">
        <v>25</v>
      </c>
      <c r="C114" s="43">
        <v>109.70044444443892</v>
      </c>
      <c r="D114" s="43">
        <v>285.05111111118458</v>
      </c>
    </row>
    <row r="115" spans="1:4" x14ac:dyDescent="0.25">
      <c r="A115" s="21" t="s">
        <v>35</v>
      </c>
      <c r="B115" s="43">
        <v>18</v>
      </c>
      <c r="C115" s="43">
        <v>102.44407407407805</v>
      </c>
      <c r="D115" s="43">
        <v>243.25833333330229</v>
      </c>
    </row>
    <row r="116" spans="1:4" x14ac:dyDescent="0.25">
      <c r="A116" s="21" t="s">
        <v>87</v>
      </c>
      <c r="B116" s="43">
        <v>22</v>
      </c>
      <c r="C116" s="43">
        <v>95.868308080820668</v>
      </c>
      <c r="D116" s="43">
        <v>289.87277777778218</v>
      </c>
    </row>
    <row r="117" spans="1:4" x14ac:dyDescent="0.25">
      <c r="A117" s="21" t="s">
        <v>167</v>
      </c>
      <c r="B117" s="43">
        <v>23</v>
      </c>
      <c r="C117" s="43">
        <v>90.365132850235454</v>
      </c>
      <c r="D117" s="43">
        <v>265.45083333319053</v>
      </c>
    </row>
    <row r="118" spans="1:4" x14ac:dyDescent="0.25">
      <c r="A118" s="21" t="s">
        <v>219</v>
      </c>
      <c r="B118" s="43">
        <v>21</v>
      </c>
      <c r="C118" s="43">
        <v>83.358068783069029</v>
      </c>
      <c r="D118" s="43">
        <v>270.74083333328599</v>
      </c>
    </row>
    <row r="119" spans="1:4" x14ac:dyDescent="0.25">
      <c r="A119" s="21" t="s">
        <v>1389</v>
      </c>
      <c r="B119" s="43">
        <v>5</v>
      </c>
      <c r="C119" s="43">
        <v>0</v>
      </c>
      <c r="D119" s="43">
        <v>0</v>
      </c>
    </row>
    <row r="120" spans="1:4" x14ac:dyDescent="0.25">
      <c r="A120" s="21" t="s">
        <v>1326</v>
      </c>
      <c r="B120" s="43">
        <v>225</v>
      </c>
      <c r="C120" s="43">
        <v>113.6722432098755</v>
      </c>
      <c r="D120" s="43">
        <v>293.80388888897141</v>
      </c>
    </row>
    <row r="142" spans="1:1" ht="13.8" x14ac:dyDescent="0.25">
      <c r="A142" s="37" t="s">
        <v>1401</v>
      </c>
    </row>
    <row r="143" spans="1:1" x14ac:dyDescent="0.25">
      <c r="A143" s="8" t="s">
        <v>1406</v>
      </c>
    </row>
    <row r="144" spans="1:1" x14ac:dyDescent="0.25">
      <c r="A144" s="8" t="s">
        <v>1405</v>
      </c>
    </row>
    <row r="145" spans="1:2" x14ac:dyDescent="0.25">
      <c r="A145" s="8" t="s">
        <v>1404</v>
      </c>
    </row>
    <row r="147" spans="1:2" ht="13.8" x14ac:dyDescent="0.25">
      <c r="A147" s="33" t="s">
        <v>1399</v>
      </c>
    </row>
    <row r="148" spans="1:2" x14ac:dyDescent="0.25">
      <c r="A148" s="20" t="s">
        <v>1376</v>
      </c>
      <c r="B148" t="s">
        <v>1327</v>
      </c>
    </row>
    <row r="149" spans="1:2" x14ac:dyDescent="0.25">
      <c r="A149" s="21" t="s">
        <v>1395</v>
      </c>
      <c r="B149" s="43">
        <v>43</v>
      </c>
    </row>
    <row r="150" spans="1:2" x14ac:dyDescent="0.25">
      <c r="A150" s="21" t="s">
        <v>1393</v>
      </c>
      <c r="B150" s="43">
        <v>27</v>
      </c>
    </row>
    <row r="151" spans="1:2" x14ac:dyDescent="0.25">
      <c r="A151" s="21" t="s">
        <v>1397</v>
      </c>
      <c r="B151" s="43">
        <v>23</v>
      </c>
    </row>
    <row r="152" spans="1:2" x14ac:dyDescent="0.25">
      <c r="A152" s="21" t="s">
        <v>1398</v>
      </c>
      <c r="B152" s="43">
        <v>33</v>
      </c>
    </row>
    <row r="153" spans="1:2" x14ac:dyDescent="0.25">
      <c r="A153" s="21" t="s">
        <v>1396</v>
      </c>
      <c r="B153" s="43">
        <v>22</v>
      </c>
    </row>
    <row r="154" spans="1:2" x14ac:dyDescent="0.25">
      <c r="A154" s="21" t="s">
        <v>1392</v>
      </c>
      <c r="B154" s="43">
        <v>36</v>
      </c>
    </row>
    <row r="155" spans="1:2" x14ac:dyDescent="0.25">
      <c r="A155" s="21" t="s">
        <v>1394</v>
      </c>
      <c r="B155" s="43">
        <v>41</v>
      </c>
    </row>
    <row r="156" spans="1:2" x14ac:dyDescent="0.25">
      <c r="A156" s="21" t="s">
        <v>1326</v>
      </c>
      <c r="B156" s="43">
        <v>225</v>
      </c>
    </row>
    <row r="175" spans="1:1" ht="13.8" x14ac:dyDescent="0.25">
      <c r="A175" s="37" t="s">
        <v>1401</v>
      </c>
    </row>
    <row r="176" spans="1:1" x14ac:dyDescent="0.25">
      <c r="A176" s="8" t="s">
        <v>1400</v>
      </c>
    </row>
    <row r="177" spans="1:1" x14ac:dyDescent="0.25">
      <c r="A177" s="8" t="s">
        <v>1402</v>
      </c>
    </row>
    <row r="178" spans="1:1" x14ac:dyDescent="0.25">
      <c r="A178" s="8" t="s">
        <v>1403</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038CA-1AB7-421B-B02F-A753DE2880E8}">
  <dimension ref="A1:G19"/>
  <sheetViews>
    <sheetView topLeftCell="A7" workbookViewId="0">
      <selection activeCell="C22" sqref="C22"/>
    </sheetView>
  </sheetViews>
  <sheetFormatPr defaultRowHeight="13.2" x14ac:dyDescent="0.25"/>
  <cols>
    <col min="1" max="1" width="25.109375" customWidth="1"/>
    <col min="2" max="2" width="26.5546875" customWidth="1"/>
    <col min="3" max="3" width="20.6640625" customWidth="1"/>
    <col min="4" max="4" width="20.44140625" customWidth="1"/>
    <col min="5" max="5" width="20.88671875" customWidth="1"/>
    <col min="6" max="6" width="21" customWidth="1"/>
    <col min="7" max="7" width="16.109375" customWidth="1"/>
  </cols>
  <sheetData>
    <row r="1" spans="1:7" ht="21" x14ac:dyDescent="0.4">
      <c r="A1" s="50" t="s">
        <v>1407</v>
      </c>
      <c r="B1" s="51"/>
      <c r="C1" s="60"/>
      <c r="D1" s="60"/>
      <c r="E1" s="60"/>
      <c r="F1" s="60"/>
    </row>
    <row r="3" spans="1:7" x14ac:dyDescent="0.25">
      <c r="A3" s="61" t="s">
        <v>1384</v>
      </c>
      <c r="B3" s="61" t="s">
        <v>1408</v>
      </c>
      <c r="C3" s="61" t="s">
        <v>1409</v>
      </c>
      <c r="D3" s="61" t="s">
        <v>1410</v>
      </c>
      <c r="E3" s="61" t="s">
        <v>1411</v>
      </c>
      <c r="F3" s="61" t="s">
        <v>1412</v>
      </c>
      <c r="G3" s="61" t="s">
        <v>1413</v>
      </c>
    </row>
    <row r="4" spans="1:7" ht="85.2" customHeight="1" x14ac:dyDescent="0.25">
      <c r="A4" s="53" t="s">
        <v>1414</v>
      </c>
      <c r="B4" s="56" t="s">
        <v>1417</v>
      </c>
      <c r="C4" s="59" t="s">
        <v>1418</v>
      </c>
      <c r="D4" s="55" t="s">
        <v>1419</v>
      </c>
      <c r="E4" s="55" t="s">
        <v>1420</v>
      </c>
      <c r="F4" s="55" t="s">
        <v>1421</v>
      </c>
      <c r="G4" s="55" t="s">
        <v>1422</v>
      </c>
    </row>
    <row r="5" spans="1:7" ht="93.6" customHeight="1" x14ac:dyDescent="0.25">
      <c r="A5" s="53" t="s">
        <v>1415</v>
      </c>
      <c r="B5" s="55" t="s">
        <v>1423</v>
      </c>
      <c r="C5" s="59" t="s">
        <v>1418</v>
      </c>
      <c r="D5" s="54" t="s">
        <v>1424</v>
      </c>
      <c r="E5" s="54" t="s">
        <v>1425</v>
      </c>
      <c r="F5" s="54" t="s">
        <v>1426</v>
      </c>
      <c r="G5" s="54" t="s">
        <v>1427</v>
      </c>
    </row>
    <row r="6" spans="1:7" ht="66" x14ac:dyDescent="0.25">
      <c r="A6" s="53" t="s">
        <v>1416</v>
      </c>
      <c r="B6" s="55" t="s">
        <v>1428</v>
      </c>
      <c r="C6" s="59" t="s">
        <v>1418</v>
      </c>
      <c r="D6" s="52" t="s">
        <v>1429</v>
      </c>
      <c r="E6" s="54" t="s">
        <v>1430</v>
      </c>
      <c r="F6" s="52" t="s">
        <v>1431</v>
      </c>
      <c r="G6" s="52" t="s">
        <v>1432</v>
      </c>
    </row>
    <row r="8" spans="1:7" x14ac:dyDescent="0.25">
      <c r="A8" s="8" t="s">
        <v>1433</v>
      </c>
    </row>
    <row r="11" spans="1:7" ht="15.6" x14ac:dyDescent="0.3">
      <c r="A11" s="109" t="s">
        <v>1471</v>
      </c>
    </row>
    <row r="12" spans="1:7" x14ac:dyDescent="0.25">
      <c r="A12" s="76" t="s">
        <v>1469</v>
      </c>
      <c r="B12" s="76" t="s">
        <v>1313</v>
      </c>
      <c r="C12" s="76" t="s">
        <v>1436</v>
      </c>
      <c r="D12" s="110" t="s">
        <v>1435</v>
      </c>
      <c r="E12" s="76" t="s">
        <v>1470</v>
      </c>
    </row>
    <row r="13" spans="1:7" ht="39.6" x14ac:dyDescent="0.25">
      <c r="A13" s="55" t="s">
        <v>1508</v>
      </c>
      <c r="B13" s="55" t="s">
        <v>1509</v>
      </c>
      <c r="C13" s="55" t="s">
        <v>1445</v>
      </c>
      <c r="D13" s="58" t="s">
        <v>1510</v>
      </c>
      <c r="E13" s="55" t="s">
        <v>1511</v>
      </c>
    </row>
    <row r="14" spans="1:7" ht="39.6" x14ac:dyDescent="0.25">
      <c r="A14" s="55" t="s">
        <v>1467</v>
      </c>
      <c r="B14" s="55" t="s">
        <v>1512</v>
      </c>
      <c r="C14" s="55" t="s">
        <v>1513</v>
      </c>
      <c r="D14" s="58" t="s">
        <v>1514</v>
      </c>
      <c r="E14" s="55" t="s">
        <v>1515</v>
      </c>
    </row>
    <row r="15" spans="1:7" ht="39.6" x14ac:dyDescent="0.25">
      <c r="A15" s="55" t="s">
        <v>1516</v>
      </c>
      <c r="B15" s="55" t="s">
        <v>1517</v>
      </c>
      <c r="C15" s="55" t="s">
        <v>1518</v>
      </c>
      <c r="D15" s="58" t="s">
        <v>1519</v>
      </c>
      <c r="E15" s="55" t="s">
        <v>1520</v>
      </c>
    </row>
    <row r="16" spans="1:7" ht="52.8" x14ac:dyDescent="0.25">
      <c r="A16" s="55" t="s">
        <v>1521</v>
      </c>
      <c r="B16" s="55" t="s">
        <v>1522</v>
      </c>
      <c r="C16" s="55" t="s">
        <v>1523</v>
      </c>
      <c r="D16" s="58" t="s">
        <v>1524</v>
      </c>
      <c r="E16" s="55" t="s">
        <v>1525</v>
      </c>
    </row>
    <row r="17" spans="1:5" ht="39.6" x14ac:dyDescent="0.25">
      <c r="A17" s="55" t="s">
        <v>1526</v>
      </c>
      <c r="B17" s="55" t="s">
        <v>1527</v>
      </c>
      <c r="C17" s="55" t="s">
        <v>1528</v>
      </c>
      <c r="D17" s="58" t="s">
        <v>1529</v>
      </c>
      <c r="E17" s="55" t="s">
        <v>1530</v>
      </c>
    </row>
    <row r="18" spans="1:5" ht="52.8" x14ac:dyDescent="0.25">
      <c r="A18" s="55" t="s">
        <v>1531</v>
      </c>
      <c r="B18" s="55" t="s">
        <v>1532</v>
      </c>
      <c r="C18" s="55" t="s">
        <v>1533</v>
      </c>
      <c r="D18" s="58" t="s">
        <v>1442</v>
      </c>
      <c r="E18" s="55" t="s">
        <v>1534</v>
      </c>
    </row>
    <row r="19" spans="1:5" ht="39.6" x14ac:dyDescent="0.25">
      <c r="A19" s="55" t="s">
        <v>1535</v>
      </c>
      <c r="B19" s="55" t="s">
        <v>1536</v>
      </c>
      <c r="C19" s="55" t="s">
        <v>1518</v>
      </c>
      <c r="D19" s="58" t="s">
        <v>1537</v>
      </c>
      <c r="E19" s="55" t="s">
        <v>1538</v>
      </c>
    </row>
  </sheetData>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377D-D4EA-49E0-A97A-5D5814E77522}">
  <dimension ref="A1:R83"/>
  <sheetViews>
    <sheetView topLeftCell="A8" zoomScale="96" zoomScaleNormal="70" workbookViewId="0">
      <selection activeCell="D29" sqref="D29"/>
    </sheetView>
  </sheetViews>
  <sheetFormatPr defaultRowHeight="13.2" x14ac:dyDescent="0.25"/>
  <cols>
    <col min="1" max="1" width="21.5546875" style="44" customWidth="1"/>
    <col min="2" max="2" width="35.44140625" customWidth="1"/>
    <col min="3" max="3" width="18.88671875" customWidth="1"/>
    <col min="4" max="4" width="19" customWidth="1"/>
    <col min="5" max="5" width="25.21875" customWidth="1"/>
    <col min="6" max="6" width="22.5546875" customWidth="1"/>
    <col min="7" max="7" width="14" bestFit="1" customWidth="1"/>
    <col min="8" max="8" width="17.21875" bestFit="1" customWidth="1"/>
  </cols>
  <sheetData>
    <row r="1" spans="1:18" ht="24.6" x14ac:dyDescent="0.4">
      <c r="A1" s="62" t="s">
        <v>1507</v>
      </c>
      <c r="P1" t="str">
        <f ca="1">YEAR(TODAY()) &amp; "-" &amp; TEXT(WEEKNUM(TODAY(),2),"00")</f>
        <v>2025-39</v>
      </c>
    </row>
    <row r="2" spans="1:18" x14ac:dyDescent="0.25">
      <c r="P2" t="str">
        <f ca="1">TEXT(TODAY(),"yyyy-mm")</f>
        <v>2025-09</v>
      </c>
      <c r="R2" s="64" t="s">
        <v>92</v>
      </c>
    </row>
    <row r="3" spans="1:18" x14ac:dyDescent="0.25">
      <c r="A3" s="76" t="s">
        <v>1434</v>
      </c>
      <c r="B3" s="76" t="s">
        <v>1472</v>
      </c>
      <c r="C3" s="76" t="s">
        <v>1473</v>
      </c>
      <c r="D3" s="110" t="s">
        <v>1435</v>
      </c>
      <c r="E3" s="76" t="s">
        <v>1436</v>
      </c>
      <c r="F3" s="76" t="s">
        <v>1486</v>
      </c>
      <c r="R3" s="64" t="s">
        <v>189</v>
      </c>
    </row>
    <row r="4" spans="1:18" ht="27" thickBot="1" x14ac:dyDescent="0.45">
      <c r="A4" s="77" t="s">
        <v>1437</v>
      </c>
      <c r="B4" s="55" t="s">
        <v>1474</v>
      </c>
      <c r="C4" s="55" t="s">
        <v>1475</v>
      </c>
      <c r="D4" s="57" t="s">
        <v>1442</v>
      </c>
      <c r="E4" s="55" t="s">
        <v>1445</v>
      </c>
      <c r="F4" s="55" t="s">
        <v>1448</v>
      </c>
      <c r="G4" s="67" t="s">
        <v>1457</v>
      </c>
      <c r="H4" s="68"/>
      <c r="R4" s="64" t="s">
        <v>29</v>
      </c>
    </row>
    <row r="5" spans="1:18" ht="26.4" x14ac:dyDescent="0.25">
      <c r="A5" s="77" t="s">
        <v>1438</v>
      </c>
      <c r="B5" s="55" t="s">
        <v>1476</v>
      </c>
      <c r="C5" s="55" t="s">
        <v>1324</v>
      </c>
      <c r="D5" s="57" t="s">
        <v>1443</v>
      </c>
      <c r="E5" s="55" t="s">
        <v>1446</v>
      </c>
      <c r="F5" s="55" t="s">
        <v>1449</v>
      </c>
      <c r="G5" s="69" t="s">
        <v>1451</v>
      </c>
      <c r="H5" s="70" t="str">
        <f ca="1">YEAR(TODAY()) &amp; "-" &amp; TEXT(WEEKNUM(TODAY(),2),"00")</f>
        <v>2025-39</v>
      </c>
      <c r="R5" s="64" t="s">
        <v>68</v>
      </c>
    </row>
    <row r="6" spans="1:18" ht="26.4" x14ac:dyDescent="0.25">
      <c r="A6" s="77" t="s">
        <v>1333</v>
      </c>
      <c r="B6" s="55" t="s">
        <v>1441</v>
      </c>
      <c r="C6" s="55" t="s">
        <v>1477</v>
      </c>
      <c r="D6" s="57" t="s">
        <v>1478</v>
      </c>
      <c r="E6" s="55" t="s">
        <v>1447</v>
      </c>
      <c r="F6" s="55" t="s">
        <v>1487</v>
      </c>
      <c r="G6" s="71" t="s">
        <v>1452</v>
      </c>
      <c r="H6" s="72">
        <f ca="1">COUNTIFS(NPS_Data[Month], $P$2)</f>
        <v>85</v>
      </c>
      <c r="R6" s="64" t="s">
        <v>60</v>
      </c>
    </row>
    <row r="7" spans="1:18" ht="26.4" x14ac:dyDescent="0.25">
      <c r="A7" s="77" t="s">
        <v>1439</v>
      </c>
      <c r="B7" s="55" t="s">
        <v>1479</v>
      </c>
      <c r="C7" s="55" t="s">
        <v>1480</v>
      </c>
      <c r="D7" s="57" t="s">
        <v>1442</v>
      </c>
      <c r="E7" s="55" t="s">
        <v>1447</v>
      </c>
      <c r="F7" s="55" t="s">
        <v>1450</v>
      </c>
      <c r="G7" s="71" t="s">
        <v>1453</v>
      </c>
      <c r="H7" s="72">
        <f>IFERROR(AVERAGEIFS(NPS_Data[ResolutionHours], NPS_Data[ResolvedFlag], 1), "")</f>
        <v>161.87502988748093</v>
      </c>
    </row>
    <row r="8" spans="1:18" ht="26.4" x14ac:dyDescent="0.25">
      <c r="A8" s="77" t="s">
        <v>1481</v>
      </c>
      <c r="B8" s="55" t="s">
        <v>1482</v>
      </c>
      <c r="C8" s="55" t="s">
        <v>3</v>
      </c>
      <c r="D8" s="57" t="s">
        <v>1444</v>
      </c>
      <c r="E8" s="55" t="s">
        <v>1483</v>
      </c>
      <c r="F8" s="55" t="s">
        <v>1488</v>
      </c>
      <c r="G8" s="71" t="s">
        <v>1454</v>
      </c>
      <c r="H8" s="72">
        <f>IFERROR( COUNTIFS(NPS_Data[SLA_Breach], "Breach") / MAX(1, COUNTIFS(NPS_Data[ResolvedFlag], 1) ), 0 )</f>
        <v>0.81645569620253167</v>
      </c>
    </row>
    <row r="9" spans="1:18" ht="26.4" x14ac:dyDescent="0.25">
      <c r="A9" s="77" t="s">
        <v>1440</v>
      </c>
      <c r="B9" s="55" t="s">
        <v>1484</v>
      </c>
      <c r="C9" s="55" t="s">
        <v>13</v>
      </c>
      <c r="D9" s="57" t="s">
        <v>1485</v>
      </c>
      <c r="E9" s="55" t="s">
        <v>1445</v>
      </c>
      <c r="F9" s="55" t="s">
        <v>1489</v>
      </c>
      <c r="G9" s="71" t="s">
        <v>1455</v>
      </c>
      <c r="H9" s="72">
        <f>COUNTIFS(NPS_Data[Assigned To], "")</f>
        <v>5</v>
      </c>
    </row>
    <row r="10" spans="1:18" ht="27" thickBot="1" x14ac:dyDescent="0.3">
      <c r="A10" s="77" t="s">
        <v>1490</v>
      </c>
      <c r="B10" s="55" t="s">
        <v>1491</v>
      </c>
      <c r="C10" s="55" t="s">
        <v>1281</v>
      </c>
      <c r="D10" s="57" t="s">
        <v>1443</v>
      </c>
      <c r="E10" s="55" t="s">
        <v>1447</v>
      </c>
      <c r="F10" s="55" t="s">
        <v>1492</v>
      </c>
      <c r="G10" s="73" t="s">
        <v>1456</v>
      </c>
      <c r="H10" s="74" cm="1">
        <f t="array" ref="H10">SUMPRODUCT(COUNTIF(NPS_Data[Issue 2 - NPS], $R$2:$R$6)) / COUNTA(NPS_Data[Ticket No])</f>
        <v>0.4177777777777778</v>
      </c>
    </row>
    <row r="11" spans="1:18" ht="26.4" x14ac:dyDescent="0.25">
      <c r="A11" s="77" t="s">
        <v>1493</v>
      </c>
      <c r="B11" s="55" t="s">
        <v>1494</v>
      </c>
      <c r="C11" s="55" t="s">
        <v>1495</v>
      </c>
      <c r="D11" s="57" t="s">
        <v>1442</v>
      </c>
      <c r="E11" s="55" t="s">
        <v>1447</v>
      </c>
      <c r="F11" s="55" t="s">
        <v>1496</v>
      </c>
    </row>
    <row r="13" spans="1:18" ht="13.8" x14ac:dyDescent="0.25">
      <c r="A13" s="75" t="s">
        <v>1458</v>
      </c>
    </row>
    <row r="15" spans="1:18" x14ac:dyDescent="0.25">
      <c r="A15" s="76" t="s">
        <v>1435</v>
      </c>
      <c r="B15" s="76" t="s">
        <v>1459</v>
      </c>
      <c r="C15" s="76" t="s">
        <v>1497</v>
      </c>
      <c r="D15" s="76" t="s">
        <v>1460</v>
      </c>
    </row>
    <row r="16" spans="1:18" ht="52.8" x14ac:dyDescent="0.25">
      <c r="A16" s="77" t="s">
        <v>1442</v>
      </c>
      <c r="B16" s="55" t="s">
        <v>1498</v>
      </c>
      <c r="C16" s="55" t="s">
        <v>1499</v>
      </c>
      <c r="D16" s="55" t="s">
        <v>1500</v>
      </c>
      <c r="E16" s="8"/>
    </row>
    <row r="17" spans="1:10" ht="39.6" x14ac:dyDescent="0.25">
      <c r="A17" s="77" t="s">
        <v>1443</v>
      </c>
      <c r="B17" s="55" t="s">
        <v>1501</v>
      </c>
      <c r="C17" s="55" t="s">
        <v>1502</v>
      </c>
      <c r="D17" s="55" t="s">
        <v>1503</v>
      </c>
    </row>
    <row r="18" spans="1:10" ht="52.8" x14ac:dyDescent="0.25">
      <c r="A18" s="77" t="s">
        <v>1461</v>
      </c>
      <c r="B18" s="55" t="s">
        <v>1504</v>
      </c>
      <c r="C18" s="55" t="s">
        <v>1505</v>
      </c>
      <c r="D18" s="55" t="s">
        <v>1506</v>
      </c>
    </row>
    <row r="19" spans="1:10" x14ac:dyDescent="0.25">
      <c r="J19" s="8"/>
    </row>
    <row r="20" spans="1:10" x14ac:dyDescent="0.25">
      <c r="J20" s="8"/>
    </row>
    <row r="21" spans="1:10" ht="21" x14ac:dyDescent="0.4">
      <c r="D21" s="78"/>
      <c r="E21" s="78"/>
      <c r="J21" s="8"/>
    </row>
    <row r="22" spans="1:10" x14ac:dyDescent="0.25">
      <c r="D22" s="79"/>
      <c r="E22" s="79"/>
      <c r="J22" s="8"/>
    </row>
    <row r="23" spans="1:10" x14ac:dyDescent="0.25">
      <c r="D23" s="79"/>
      <c r="E23" s="79"/>
      <c r="J23" s="8"/>
    </row>
    <row r="24" spans="1:10" x14ac:dyDescent="0.25">
      <c r="J24" s="8"/>
    </row>
    <row r="32" spans="1:10" ht="13.8" x14ac:dyDescent="0.25">
      <c r="A32" s="75"/>
    </row>
    <row r="33" spans="1:4" x14ac:dyDescent="0.25">
      <c r="A33" s="76"/>
      <c r="B33" s="76"/>
      <c r="C33" s="76"/>
      <c r="D33" s="76"/>
    </row>
    <row r="34" spans="1:4" x14ac:dyDescent="0.25">
      <c r="A34" s="77"/>
      <c r="B34" s="55"/>
      <c r="C34" s="55"/>
      <c r="D34" s="55"/>
    </row>
    <row r="35" spans="1:4" x14ac:dyDescent="0.25">
      <c r="A35" s="77"/>
      <c r="B35" s="55"/>
      <c r="C35" s="55"/>
      <c r="D35" s="55"/>
    </row>
    <row r="36" spans="1:4" x14ac:dyDescent="0.25">
      <c r="A36" s="77"/>
      <c r="B36" s="55"/>
      <c r="C36" s="55"/>
      <c r="D36" s="55"/>
    </row>
    <row r="82" spans="1:5" x14ac:dyDescent="0.25">
      <c r="A82" s="83"/>
      <c r="B82" s="83"/>
      <c r="C82" s="83"/>
      <c r="E82" s="63"/>
    </row>
    <row r="83" spans="1:5" x14ac:dyDescent="0.25">
      <c r="A83" s="83"/>
      <c r="B83" s="83"/>
      <c r="C83" s="83"/>
    </row>
  </sheetData>
  <mergeCells count="5">
    <mergeCell ref="G4:H4"/>
    <mergeCell ref="D21:E21"/>
    <mergeCell ref="D22:E22"/>
    <mergeCell ref="D23:E23"/>
    <mergeCell ref="A82:C83"/>
  </mergeCells>
  <conditionalFormatting sqref="H7">
    <cfRule type="expression" dxfId="1" priority="1">
      <formula>AND(H7&lt;&gt;"",H7&lt;=72)</formula>
    </cfRule>
    <cfRule type="expression" dxfId="0" priority="2">
      <formula>H7&gt;72</formula>
    </cfRule>
  </conditionalFormatting>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5EE3D-2E74-4E5E-9769-98217CBC34C7}">
  <dimension ref="A1:Q39"/>
  <sheetViews>
    <sheetView zoomScale="83" workbookViewId="0">
      <selection activeCell="U13" sqref="U13"/>
    </sheetView>
  </sheetViews>
  <sheetFormatPr defaultRowHeight="13.2" x14ac:dyDescent="0.25"/>
  <cols>
    <col min="2" max="2" width="16.33203125" customWidth="1"/>
    <col min="3" max="3" width="12.33203125" customWidth="1"/>
    <col min="6" max="6" width="12.77734375" customWidth="1"/>
  </cols>
  <sheetData>
    <row r="1" spans="1:17" ht="13.2" customHeight="1" x14ac:dyDescent="0.25">
      <c r="A1" s="105" t="s">
        <v>1465</v>
      </c>
      <c r="B1" s="106"/>
      <c r="C1" s="106"/>
      <c r="D1" s="106"/>
      <c r="E1" s="106"/>
      <c r="F1" s="106"/>
      <c r="G1" s="106"/>
      <c r="H1" s="106"/>
      <c r="I1" s="106"/>
      <c r="J1" s="106"/>
      <c r="K1" s="103"/>
      <c r="L1" s="103"/>
      <c r="M1" s="103"/>
      <c r="N1" s="103"/>
    </row>
    <row r="2" spans="1:17" ht="13.2" customHeight="1" x14ac:dyDescent="0.25">
      <c r="A2" s="107"/>
      <c r="B2" s="108"/>
      <c r="C2" s="108"/>
      <c r="D2" s="108"/>
      <c r="E2" s="108"/>
      <c r="F2" s="108"/>
      <c r="G2" s="108"/>
      <c r="H2" s="108"/>
      <c r="I2" s="108"/>
      <c r="J2" s="108"/>
      <c r="K2" s="104"/>
      <c r="L2" s="104"/>
      <c r="M2" s="104"/>
      <c r="N2" s="104"/>
    </row>
    <row r="3" spans="1:17" x14ac:dyDescent="0.25">
      <c r="A3" s="101" t="s">
        <v>1466</v>
      </c>
      <c r="B3" s="100"/>
      <c r="C3" s="101" t="s">
        <v>1468</v>
      </c>
      <c r="D3" s="100"/>
      <c r="E3" s="101" t="s">
        <v>1454</v>
      </c>
      <c r="F3" s="99"/>
      <c r="G3" s="100"/>
      <c r="H3" s="102" t="s">
        <v>1467</v>
      </c>
      <c r="I3" s="85"/>
      <c r="J3" s="89"/>
    </row>
    <row r="4" spans="1:17" x14ac:dyDescent="0.25">
      <c r="A4" s="98"/>
      <c r="B4" s="100"/>
      <c r="C4" s="98"/>
      <c r="D4" s="100"/>
      <c r="E4" s="98"/>
      <c r="F4" s="99"/>
      <c r="G4" s="100"/>
      <c r="H4" s="85"/>
      <c r="I4" s="85"/>
      <c r="J4" s="89"/>
    </row>
    <row r="5" spans="1:17" x14ac:dyDescent="0.25">
      <c r="A5" s="84" t="str">
        <f ca="1" xml:space="preserve"> 'KPI Dashboard(3B)'!H5</f>
        <v>2025-39</v>
      </c>
      <c r="B5" s="84"/>
      <c r="C5" s="93">
        <f>'KPI Dashboard(3B)'!H7</f>
        <v>161.87502988748093</v>
      </c>
      <c r="D5" s="94"/>
      <c r="E5" s="93">
        <f>'KPI Dashboard(3B)'!H8</f>
        <v>0.81645569620253167</v>
      </c>
      <c r="F5" s="86"/>
      <c r="G5" s="94"/>
      <c r="H5" s="86">
        <f>'KPI Dashboard(3B)'!H9</f>
        <v>5</v>
      </c>
      <c r="I5" s="86"/>
      <c r="J5" s="90"/>
    </row>
    <row r="6" spans="1:17" x14ac:dyDescent="0.25">
      <c r="A6" s="84"/>
      <c r="B6" s="84"/>
      <c r="C6" s="93"/>
      <c r="D6" s="94"/>
      <c r="E6" s="93"/>
      <c r="F6" s="86"/>
      <c r="G6" s="94"/>
      <c r="H6" s="86"/>
      <c r="I6" s="86"/>
      <c r="J6" s="90"/>
    </row>
    <row r="7" spans="1:17" ht="13.8" thickBot="1" x14ac:dyDescent="0.3">
      <c r="A7" s="84"/>
      <c r="B7" s="84"/>
      <c r="C7" s="95"/>
      <c r="D7" s="97"/>
      <c r="E7" s="95"/>
      <c r="F7" s="96"/>
      <c r="G7" s="97"/>
      <c r="H7" s="91"/>
      <c r="I7" s="91"/>
      <c r="J7" s="92"/>
    </row>
    <row r="8" spans="1:17" x14ac:dyDescent="0.25">
      <c r="E8" s="49"/>
      <c r="Q8" s="87"/>
    </row>
    <row r="9" spans="1:17" x14ac:dyDescent="0.25">
      <c r="Q9" s="88"/>
    </row>
    <row r="38" spans="1:2" x14ac:dyDescent="0.25">
      <c r="A38" s="80" t="s">
        <v>1462</v>
      </c>
      <c r="B38" s="81">
        <f ca="1">NOW()</f>
        <v>45928.084103703703</v>
      </c>
    </row>
    <row r="39" spans="1:2" x14ac:dyDescent="0.25">
      <c r="A39" s="80" t="s">
        <v>1463</v>
      </c>
      <c r="B39" s="82" t="s">
        <v>1464</v>
      </c>
    </row>
  </sheetData>
  <mergeCells count="9">
    <mergeCell ref="C5:D7"/>
    <mergeCell ref="A5:B7"/>
    <mergeCell ref="E5:G7"/>
    <mergeCell ref="H5:J7"/>
    <mergeCell ref="A1:J2"/>
    <mergeCell ref="A3:B4"/>
    <mergeCell ref="C3:D4"/>
    <mergeCell ref="E3:G4"/>
    <mergeCell ref="H3:J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7B475-75A5-48D5-B689-AB693E64F2FD}">
  <dimension ref="A1:S3"/>
  <sheetViews>
    <sheetView zoomScale="63" workbookViewId="0">
      <selection activeCell="V24" sqref="V24"/>
    </sheetView>
  </sheetViews>
  <sheetFormatPr defaultRowHeight="13.2" x14ac:dyDescent="0.25"/>
  <sheetData>
    <row r="1" spans="1:19" ht="13.2" customHeight="1" x14ac:dyDescent="0.25">
      <c r="A1" s="111" t="s">
        <v>1539</v>
      </c>
      <c r="B1" s="111"/>
      <c r="C1" s="111"/>
      <c r="D1" s="111"/>
      <c r="E1" s="111"/>
      <c r="F1" s="111"/>
      <c r="G1" s="111"/>
      <c r="H1" s="111"/>
      <c r="I1" s="111"/>
      <c r="J1" s="111"/>
      <c r="K1" s="111"/>
      <c r="L1" s="111"/>
      <c r="M1" s="111"/>
      <c r="N1" s="111"/>
      <c r="O1" s="111"/>
      <c r="P1" s="111"/>
      <c r="Q1" s="111"/>
      <c r="R1" s="111"/>
      <c r="S1" s="111"/>
    </row>
    <row r="2" spans="1:19" x14ac:dyDescent="0.25">
      <c r="A2" s="111"/>
      <c r="B2" s="111"/>
      <c r="C2" s="111"/>
      <c r="D2" s="111"/>
      <c r="E2" s="111"/>
      <c r="F2" s="111"/>
      <c r="G2" s="111"/>
      <c r="H2" s="111"/>
      <c r="I2" s="111"/>
      <c r="J2" s="111"/>
      <c r="K2" s="111"/>
      <c r="L2" s="111"/>
      <c r="M2" s="111"/>
      <c r="N2" s="111"/>
      <c r="O2" s="111"/>
      <c r="P2" s="111"/>
      <c r="Q2" s="111"/>
      <c r="R2" s="111"/>
      <c r="S2" s="111"/>
    </row>
    <row r="3" spans="1:19" x14ac:dyDescent="0.25">
      <c r="A3" s="111"/>
      <c r="B3" s="111"/>
      <c r="C3" s="111"/>
      <c r="D3" s="111"/>
      <c r="E3" s="111"/>
      <c r="F3" s="111"/>
      <c r="G3" s="111"/>
      <c r="H3" s="111"/>
      <c r="I3" s="111"/>
      <c r="J3" s="111"/>
      <c r="K3" s="111"/>
      <c r="L3" s="111"/>
      <c r="M3" s="111"/>
      <c r="N3" s="111"/>
      <c r="O3" s="111"/>
      <c r="P3" s="111"/>
      <c r="Q3" s="111"/>
      <c r="R3" s="111"/>
      <c r="S3" s="111"/>
    </row>
  </sheetData>
  <mergeCells count="1">
    <mergeCell ref="A1:S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2895D-BDC8-4152-8015-F70F0EA4FD44}">
  <dimension ref="A5:A90"/>
  <sheetViews>
    <sheetView topLeftCell="A55" workbookViewId="0">
      <selection activeCell="K94" sqref="K94"/>
    </sheetView>
  </sheetViews>
  <sheetFormatPr defaultRowHeight="13.2" x14ac:dyDescent="0.25"/>
  <sheetData>
    <row r="5" spans="1:1" x14ac:dyDescent="0.25">
      <c r="A5" s="44" t="s">
        <v>1548</v>
      </c>
    </row>
    <row r="6" spans="1:1" x14ac:dyDescent="0.25">
      <c r="A6" t="s">
        <v>1540</v>
      </c>
    </row>
    <row r="7" spans="1:1" x14ac:dyDescent="0.25">
      <c r="A7" t="s">
        <v>1541</v>
      </c>
    </row>
    <row r="8" spans="1:1" x14ac:dyDescent="0.25">
      <c r="A8" t="s">
        <v>1542</v>
      </c>
    </row>
    <row r="9" spans="1:1" x14ac:dyDescent="0.25">
      <c r="A9" t="s">
        <v>1543</v>
      </c>
    </row>
    <row r="10" spans="1:1" x14ac:dyDescent="0.25">
      <c r="A10" t="s">
        <v>1544</v>
      </c>
    </row>
    <row r="11" spans="1:1" x14ac:dyDescent="0.25">
      <c r="A11" t="s">
        <v>1545</v>
      </c>
    </row>
    <row r="12" spans="1:1" x14ac:dyDescent="0.25">
      <c r="A12" t="s">
        <v>1546</v>
      </c>
    </row>
    <row r="13" spans="1:1" x14ac:dyDescent="0.25">
      <c r="A13" t="s">
        <v>1547</v>
      </c>
    </row>
    <row r="15" spans="1:1" x14ac:dyDescent="0.25">
      <c r="A15" s="44" t="s">
        <v>1554</v>
      </c>
    </row>
    <row r="16" spans="1:1" x14ac:dyDescent="0.25">
      <c r="A16" t="s">
        <v>1549</v>
      </c>
    </row>
    <row r="17" spans="1:1" x14ac:dyDescent="0.25">
      <c r="A17" t="s">
        <v>1550</v>
      </c>
    </row>
    <row r="18" spans="1:1" x14ac:dyDescent="0.25">
      <c r="A18" t="s">
        <v>1551</v>
      </c>
    </row>
    <row r="19" spans="1:1" x14ac:dyDescent="0.25">
      <c r="A19" t="s">
        <v>1552</v>
      </c>
    </row>
    <row r="20" spans="1:1" x14ac:dyDescent="0.25">
      <c r="A20" t="s">
        <v>1553</v>
      </c>
    </row>
    <row r="23" spans="1:1" x14ac:dyDescent="0.25">
      <c r="A23" s="44" t="s">
        <v>1561</v>
      </c>
    </row>
    <row r="24" spans="1:1" x14ac:dyDescent="0.25">
      <c r="A24" t="s">
        <v>1555</v>
      </c>
    </row>
    <row r="25" spans="1:1" x14ac:dyDescent="0.25">
      <c r="A25" t="s">
        <v>1556</v>
      </c>
    </row>
    <row r="26" spans="1:1" x14ac:dyDescent="0.25">
      <c r="A26" t="s">
        <v>1557</v>
      </c>
    </row>
    <row r="27" spans="1:1" x14ac:dyDescent="0.25">
      <c r="A27" t="s">
        <v>1550</v>
      </c>
    </row>
    <row r="28" spans="1:1" x14ac:dyDescent="0.25">
      <c r="A28" t="s">
        <v>1558</v>
      </c>
    </row>
    <row r="29" spans="1:1" x14ac:dyDescent="0.25">
      <c r="A29" t="s">
        <v>1559</v>
      </c>
    </row>
    <row r="30" spans="1:1" x14ac:dyDescent="0.25">
      <c r="A30" t="s">
        <v>1560</v>
      </c>
    </row>
    <row r="31" spans="1:1" x14ac:dyDescent="0.25">
      <c r="A31" t="s">
        <v>1552</v>
      </c>
    </row>
    <row r="32" spans="1:1" x14ac:dyDescent="0.25">
      <c r="A32" t="s">
        <v>1553</v>
      </c>
    </row>
    <row r="35" spans="1:1" x14ac:dyDescent="0.25">
      <c r="A35" s="44" t="s">
        <v>1567</v>
      </c>
    </row>
    <row r="36" spans="1:1" x14ac:dyDescent="0.25">
      <c r="A36" t="s">
        <v>1562</v>
      </c>
    </row>
    <row r="37" spans="1:1" x14ac:dyDescent="0.25">
      <c r="A37" t="s">
        <v>1550</v>
      </c>
    </row>
    <row r="38" spans="1:1" x14ac:dyDescent="0.25">
      <c r="A38" t="s">
        <v>1563</v>
      </c>
    </row>
    <row r="39" spans="1:1" x14ac:dyDescent="0.25">
      <c r="A39" t="s">
        <v>1564</v>
      </c>
    </row>
    <row r="40" spans="1:1" x14ac:dyDescent="0.25">
      <c r="A40" t="s">
        <v>1565</v>
      </c>
    </row>
    <row r="41" spans="1:1" x14ac:dyDescent="0.25">
      <c r="A41" t="s">
        <v>1566</v>
      </c>
    </row>
    <row r="45" spans="1:1" x14ac:dyDescent="0.25">
      <c r="A45" s="44" t="s">
        <v>1572</v>
      </c>
    </row>
    <row r="46" spans="1:1" x14ac:dyDescent="0.25">
      <c r="A46" t="s">
        <v>1568</v>
      </c>
    </row>
    <row r="47" spans="1:1" x14ac:dyDescent="0.25">
      <c r="A47" t="s">
        <v>1550</v>
      </c>
    </row>
    <row r="48" spans="1:1" x14ac:dyDescent="0.25">
      <c r="A48" t="s">
        <v>1569</v>
      </c>
    </row>
    <row r="49" spans="1:1" x14ac:dyDescent="0.25">
      <c r="A49" t="s">
        <v>1570</v>
      </c>
    </row>
    <row r="50" spans="1:1" x14ac:dyDescent="0.25">
      <c r="A50" t="s">
        <v>1571</v>
      </c>
    </row>
    <row r="54" spans="1:1" x14ac:dyDescent="0.25">
      <c r="A54" s="44" t="s">
        <v>1576</v>
      </c>
    </row>
    <row r="55" spans="1:1" x14ac:dyDescent="0.25">
      <c r="A55" t="s">
        <v>1573</v>
      </c>
    </row>
    <row r="56" spans="1:1" x14ac:dyDescent="0.25">
      <c r="A56" t="s">
        <v>1550</v>
      </c>
    </row>
    <row r="57" spans="1:1" x14ac:dyDescent="0.25">
      <c r="A57" t="s">
        <v>1574</v>
      </c>
    </row>
    <row r="58" spans="1:1" x14ac:dyDescent="0.25">
      <c r="A58" t="s">
        <v>1575</v>
      </c>
    </row>
    <row r="61" spans="1:1" x14ac:dyDescent="0.25">
      <c r="A61" s="44" t="s">
        <v>1581</v>
      </c>
    </row>
    <row r="62" spans="1:1" x14ac:dyDescent="0.25">
      <c r="A62" t="s">
        <v>1577</v>
      </c>
    </row>
    <row r="63" spans="1:1" x14ac:dyDescent="0.25">
      <c r="A63" t="s">
        <v>1550</v>
      </c>
    </row>
    <row r="64" spans="1:1" x14ac:dyDescent="0.25">
      <c r="A64" t="s">
        <v>1578</v>
      </c>
    </row>
    <row r="65" spans="1:1" x14ac:dyDescent="0.25">
      <c r="A65" t="s">
        <v>1579</v>
      </c>
    </row>
    <row r="66" spans="1:1" x14ac:dyDescent="0.25">
      <c r="A66" t="s">
        <v>1580</v>
      </c>
    </row>
    <row r="69" spans="1:1" x14ac:dyDescent="0.25">
      <c r="A69" s="44" t="s">
        <v>1588</v>
      </c>
    </row>
    <row r="70" spans="1:1" x14ac:dyDescent="0.25">
      <c r="A70" t="s">
        <v>1582</v>
      </c>
    </row>
    <row r="71" spans="1:1" x14ac:dyDescent="0.25">
      <c r="A71" t="s">
        <v>1583</v>
      </c>
    </row>
    <row r="72" spans="1:1" x14ac:dyDescent="0.25">
      <c r="A72" t="s">
        <v>1584</v>
      </c>
    </row>
    <row r="73" spans="1:1" x14ac:dyDescent="0.25">
      <c r="A73" t="s">
        <v>1550</v>
      </c>
    </row>
    <row r="74" spans="1:1" x14ac:dyDescent="0.25">
      <c r="A74" t="s">
        <v>1585</v>
      </c>
    </row>
    <row r="75" spans="1:1" x14ac:dyDescent="0.25">
      <c r="A75" t="s">
        <v>1586</v>
      </c>
    </row>
    <row r="76" spans="1:1" x14ac:dyDescent="0.25">
      <c r="A76" t="s">
        <v>1587</v>
      </c>
    </row>
    <row r="80" spans="1:1" x14ac:dyDescent="0.25">
      <c r="A80" s="44" t="s">
        <v>1598</v>
      </c>
    </row>
    <row r="81" spans="1:1" x14ac:dyDescent="0.25">
      <c r="A81" t="s">
        <v>1589</v>
      </c>
    </row>
    <row r="82" spans="1:1" x14ac:dyDescent="0.25">
      <c r="A82" t="s">
        <v>1590</v>
      </c>
    </row>
    <row r="83" spans="1:1" x14ac:dyDescent="0.25">
      <c r="A83" t="s">
        <v>1591</v>
      </c>
    </row>
    <row r="84" spans="1:1" x14ac:dyDescent="0.25">
      <c r="A84" t="s">
        <v>1592</v>
      </c>
    </row>
    <row r="85" spans="1:1" x14ac:dyDescent="0.25">
      <c r="A85" t="s">
        <v>1593</v>
      </c>
    </row>
    <row r="86" spans="1:1" x14ac:dyDescent="0.25">
      <c r="A86" t="s">
        <v>1594</v>
      </c>
    </row>
    <row r="87" spans="1:1" x14ac:dyDescent="0.25">
      <c r="A87" t="s">
        <v>1540</v>
      </c>
    </row>
    <row r="88" spans="1:1" x14ac:dyDescent="0.25">
      <c r="A88" t="s">
        <v>1595</v>
      </c>
    </row>
    <row r="89" spans="1:1" x14ac:dyDescent="0.25">
      <c r="A89" t="s">
        <v>1596</v>
      </c>
    </row>
    <row r="90" spans="1:1" x14ac:dyDescent="0.25">
      <c r="A90" t="s">
        <v>1597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Cleaned Data</vt:lpstr>
      <vt:lpstr>Audit Summary</vt:lpstr>
      <vt:lpstr>Validation Rules</vt:lpstr>
      <vt:lpstr>Strategic Analysis (Task 2A)</vt:lpstr>
      <vt:lpstr>Trend Analysis (Task 2B)</vt:lpstr>
      <vt:lpstr>Monitoring Framewor(3A,3C)</vt:lpstr>
      <vt:lpstr>KPI Dashboard(3B)</vt:lpstr>
      <vt:lpstr>Dashboard</vt:lpstr>
      <vt:lpstr>Pivot Charts</vt:lpstr>
      <vt:lpstr>SQL Queries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Arundham Jena</cp:lastModifiedBy>
  <dcterms:modified xsi:type="dcterms:W3CDTF">2025-09-27T20:31:07Z</dcterms:modified>
</cp:coreProperties>
</file>